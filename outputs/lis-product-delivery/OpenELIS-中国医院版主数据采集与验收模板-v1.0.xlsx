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5f50d447d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构层级" sheetId="1" r:id="R3f7dd483c8404a6c"/>
    <x:sheet xmlns:r="http://schemas.openxmlformats.org/officeDocument/2006/relationships" name="医生目录" sheetId="2" r:id="R9d66983a52db49a8"/>
    <x:sheet xmlns:r="http://schemas.openxmlformats.org/officeDocument/2006/relationships" name="专业组" sheetId="3" r:id="R3b1ad920f5824bd0"/>
    <x:sheet xmlns:r="http://schemas.openxmlformats.org/officeDocument/2006/relationships" name="检验项目" sheetId="4" r:id="R35d761cb296c4b8b"/>
    <x:sheet xmlns:r="http://schemas.openxmlformats.org/officeDocument/2006/relationships" name="标本容器" sheetId="5" r:id="R33ca11aef50d4c6f"/>
    <x:sheet xmlns:r="http://schemas.openxmlformats.org/officeDocument/2006/relationships" name="结果单位" sheetId="6" r:id="Rfa54b93f0baf4ab3"/>
    <x:sheet xmlns:r="http://schemas.openxmlformats.org/officeDocument/2006/relationships" name="检验方法" sheetId="7" r:id="Rf230b487be1c49d7"/>
    <x:sheet xmlns:r="http://schemas.openxmlformats.org/officeDocument/2006/relationships" name="参考范围危急值" sheetId="8" r:id="R2f7492bb861a442f"/>
    <x:sheet xmlns:r="http://schemas.openxmlformats.org/officeDocument/2006/relationships" name="组合项目" sheetId="9" r:id="R5480c3411b194c66"/>
    <x:sheet xmlns:r="http://schemas.openxmlformats.org/officeDocument/2006/relationships" name="设备台账" sheetId="10" r:id="Rfd5bafaf943c47f4"/>
    <x:sheet xmlns:r="http://schemas.openxmlformats.org/officeDocument/2006/relationships" name="设备项目映射" sheetId="11" r:id="R252eac8b4d6c4cce"/>
    <x:sheet xmlns:r="http://schemas.openxmlformats.org/officeDocument/2006/relationships" name="外部码表映射" sheetId="12" r:id="R93292577f894401f"/>
    <x:sheet xmlns:r="http://schemas.openxmlformats.org/officeDocument/2006/relationships" name="填报说明" sheetId="13" r:id="R012ab699f03b4ccf"/>
    <x:sheet xmlns:r="http://schemas.openxmlformats.org/officeDocument/2006/relationships" name="验收汇总" sheetId="14" r:id="R1bb8a19af3464f13"/>
    <x:sheet xmlns:r="http://schemas.openxmlformats.org/officeDocument/2006/relationships" name="字段规则" sheetId="15" r:id="R006d47f3bade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####"/>
  </x:numFmts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sz val="10"/>
      <x:color rgb="FF64748B"/>
      <x:name val="Carlito"/>
    </x:font>
    <x:font>
      <x:b/>
      <x:sz val="18"/>
      <x:color rgb="FFFFFFFF"/>
      <x:name val="Carlito"/>
    </x:font>
    <x:font>
      <x:sz val="11"/>
      <x:color rgb="FF17365D"/>
      <x:name val="Carlito"/>
    </x:font>
    <x:font>
      <x:b/>
      <x:sz val="13"/>
      <x:color rgb="FFFFFFFF"/>
      <x:name val="Carlito"/>
    </x:font>
    <x:font>
      <x:b/>
      <x:sz val="11"/>
      <x:color rgb="FF92400E"/>
      <x:name val="Carlito"/>
    </x:font>
    <x:font>
      <x:b/>
      <x:sz val="11"/>
      <x:color rgb="FF17365D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FF8D6"/>
      </x:patternFill>
    </x:fill>
    <x:fill>
      <x:patternFill patternType="solid">
        <x:fgColor rgb="FFF3F4F6"/>
      </x:patternFill>
    </x:fill>
    <x:fill>
      <x:patternFill patternType="solid">
        <x:fgColor rgb="FFFEE2E2"/>
      </x:patternFill>
    </x:fill>
  </x:fills>
  <x:borders count="2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bottom style="double">
        <x:color rgb="FF17365D"/>
      </x:bottom>
    </x:border>
    <x:border>
      <x:left style="medium">
        <x:color rgb="FFDC2626"/>
      </x:left>
      <x:top style="medium">
        <x:color rgb="FFDC2626"/>
      </x:top>
    </x:border>
    <x:border>
      <x:top style="medium">
        <x:color rgb="FFDC2626"/>
      </x:top>
    </x:border>
    <x:border>
      <x:right style="medium">
        <x:color rgb="FFDC2626"/>
      </x:right>
      <x:top style="medium">
        <x:color rgb="FFDC2626"/>
      </x:top>
    </x:border>
    <x:border>
      <x:left style="medium">
        <x:color rgb="FFDC2626"/>
      </x:left>
    </x:border>
    <x:border>
      <x:right style="medium">
        <x:color rgb="FFDC2626"/>
      </x:right>
    </x:border>
    <x:border>
      <x:left style="medium">
        <x:color rgb="FFDC2626"/>
      </x:left>
      <x:bottom style="medium">
        <x:color rgb="FFDC2626"/>
      </x:bottom>
    </x:border>
    <x:border>
      <x:bottom style="medium">
        <x:color rgb="FFDC2626"/>
      </x:bottom>
    </x:border>
    <x:border>
      <x:right style="medium">
        <x:color rgb="FFDC2626"/>
      </x:right>
      <x:bottom style="medium">
        <x:color rgb="FFDC2626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 wrapText="1"/>
    </x:xf>
    <x:xf numFmtId="202" fontId="4" fillId="5" borderId="3" xfId="0" applyNumberFormat="1" applyFont="1" applyFill="1" applyBorder="1" applyAlignment="1">
      <x:alignment vertical="center" wrapText="1"/>
    </x:xf>
    <x:xf numFmtId="202" fontId="4" fillId="5" borderId="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5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21" xfId="0" applyNumberFormat="1" applyFont="1" applyFill="1" applyBorder="1"/>
    <x:xf numFmtId="0" fontId="11" fillId="7" borderId="22" xfId="0" applyNumberFormat="1" applyFont="1" applyFill="1" applyBorder="1"/>
    <x:xf numFmtId="0" fontId="11" fillId="7" borderId="23" xfId="0" applyNumberFormat="1" applyFont="1" applyFill="1" applyBorder="1"/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8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11" fillId="7" borderId="21" xfId="0" applyNumberFormat="1" applyFont="1" applyFill="1" applyBorder="1" applyAlignment="1">
      <x:alignment wrapText="1"/>
    </x:xf>
    <x:xf numFmtId="0" fontId="11" fillId="7" borderId="22" xfId="0" applyNumberFormat="1" applyFont="1" applyFill="1" applyBorder="1" applyAlignment="1">
      <x:alignment wrapText="1"/>
    </x:xf>
    <x:xf numFmtId="0" fontId="11" fillId="7" borderId="23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17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vertical="center" wrapText="1"/>
    </x:xf>
    <x:xf numFmtId="0" fontId="11" fillId="7" borderId="19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0" xfId="0" applyNumberFormat="1" applyFont="1" applyFill="1" applyBorder="1" applyAlignment="1">
      <x:alignment vertical="center" wrapText="1"/>
    </x:xf>
    <x:xf numFmtId="0" fontId="11" fillId="7" borderId="21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200" fontId="0" fillId="5" borderId="5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8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2a9eecbfa40dc" /><Relationship Type="http://schemas.openxmlformats.org/officeDocument/2006/relationships/theme" Target="/xl/theme/theme1.xml" Id="R0592b33fbbf94138" /><Relationship Type="http://schemas.openxmlformats.org/officeDocument/2006/relationships/sharedStrings" Target="/xl/sharedStrings.xml" Id="Ra763a67957ed432d" /><Relationship Type="http://schemas.openxmlformats.org/officeDocument/2006/relationships/worksheet" Target="/xl/worksheets/sheet1.xml" Id="R3f7dd483c8404a6c" /><Relationship Type="http://schemas.openxmlformats.org/officeDocument/2006/relationships/worksheet" Target="/xl/worksheets/sheet2.xml" Id="R9d66983a52db49a8" /><Relationship Type="http://schemas.openxmlformats.org/officeDocument/2006/relationships/worksheet" Target="/xl/worksheets/sheet3.xml" Id="R3b1ad920f5824bd0" /><Relationship Type="http://schemas.openxmlformats.org/officeDocument/2006/relationships/worksheet" Target="/xl/worksheets/sheet4.xml" Id="R35d761cb296c4b8b" /><Relationship Type="http://schemas.openxmlformats.org/officeDocument/2006/relationships/worksheet" Target="/xl/worksheets/sheet5.xml" Id="R33ca11aef50d4c6f" /><Relationship Type="http://schemas.openxmlformats.org/officeDocument/2006/relationships/worksheet" Target="/xl/worksheets/sheet6.xml" Id="Rfa54b93f0baf4ab3" /><Relationship Type="http://schemas.openxmlformats.org/officeDocument/2006/relationships/worksheet" Target="/xl/worksheets/sheet7.xml" Id="Rf230b487be1c49d7" /><Relationship Type="http://schemas.openxmlformats.org/officeDocument/2006/relationships/worksheet" Target="/xl/worksheets/sheet8.xml" Id="R2f7492bb861a442f" /><Relationship Type="http://schemas.openxmlformats.org/officeDocument/2006/relationships/worksheet" Target="/xl/worksheets/sheet9.xml" Id="R5480c3411b194c66" /><Relationship Type="http://schemas.openxmlformats.org/officeDocument/2006/relationships/worksheet" Target="/xl/worksheets/sheet10.xml" Id="Rfd5bafaf943c47f4" /><Relationship Type="http://schemas.openxmlformats.org/officeDocument/2006/relationships/worksheet" Target="/xl/worksheets/sheet11.xml" Id="R252eac8b4d6c4cce" /><Relationship Type="http://schemas.openxmlformats.org/officeDocument/2006/relationships/worksheet" Target="/xl/worksheets/sheet12.xml" Id="R93292577f894401f" /><Relationship Type="http://schemas.openxmlformats.org/officeDocument/2006/relationships/worksheet" Target="/xl/worksheets/sheet13.xml" Id="R012ab699f03b4ccf" /><Relationship Type="http://schemas.openxmlformats.org/officeDocument/2006/relationships/worksheet" Target="/xl/worksheets/sheet14.xml" Id="R1bb8a19af3464f13" /><Relationship Type="http://schemas.openxmlformats.org/officeDocument/2006/relationships/worksheet" Target="/xl/worksheets/sheet15.xml" Id="R006d47f3bade46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28" hidden="0" customWidth="1"/>
    <x:col min="13" max="13" width="26" hidden="0" customWidth="1"/>
  </x:cols>
  <x:sheetData>
    <x:row r="1" ht="32" customHeight="1">
      <x:c r="A1" s="3" t="str">
        <x:v>医院、院区、科室、病区与床位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2" customHeight="1">
      <x:c r="A2" s="7" t="str">
        <x:v>由医院信息科或主数据平台提供。每条记录必须有稳定编码；通过上级机构编码形成层级。床位也是层级节点，不允许仅填显示名称。黄色区域为待填数据，红色校验项必须在导入前清零。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数据状态*</x:v>
      </x:c>
      <x:c r="B4" s="12" t="str">
        <x:v>稳定编码*</x:v>
      </x:c>
      <x:c r="C4" s="12" t="str">
        <x:v>名称*</x:v>
      </x:c>
      <x:c r="D4" s="12" t="str">
        <x:v>机构类型*</x:v>
      </x:c>
      <x:c r="E4" s="12" t="str">
        <x:v>上级机构编码</x:v>
      </x:c>
      <x:c r="F4" s="12" t="str">
        <x:v>院区编码</x:v>
      </x:c>
      <x:c r="G4" s="12" t="str">
        <x:v>启用状态*</x:v>
      </x:c>
      <x:c r="H4" s="12" t="str">
        <x:v>有效开始日期</x:v>
      </x:c>
      <x:c r="I4" s="12" t="str">
        <x:v>有效结束日期</x:v>
      </x:c>
      <x:c r="J4" s="12" t="str">
        <x:v>权威来源*</x:v>
      </x:c>
      <x:c r="K4" s="12" t="str">
        <x:v>来源更新时间</x:v>
      </x:c>
      <x:c r="L4" s="12" t="str">
        <x:v>备注</x:v>
      </x:c>
      <x:c r="M4" s="12" t="str">
        <x:v>校验结果</x:v>
      </x:c>
    </x:row>
    <x:row r="5">
      <x:c r="A5" s="21"/>
      <x:c r="B5" s="21"/>
      <x:c r="C5" s="21"/>
      <x:c r="D5" s="21"/>
      <x:c r="E5" s="21"/>
      <x:c r="F5" s="21"/>
      <x:c r="G5" s="21"/>
      <x:c r="H5" s="30"/>
      <x:c r="I5" s="30"/>
      <x:c r="J5" s="21"/>
      <x:c r="K5" s="30"/>
      <x:c r="L5" s="21"/>
      <x:c r="M5" s="27" t="str">
        <x:f>IF(COUNTA(A5:L5)=0,"",IF(OR(A5="",B5="",C5="",D5="",G5="",J5=""),"不通过：缺少必填项",IF(COUNTIF($B$5:$B$104,B5)&gt;1,"不通过：编码重复",IF(AND(E5&lt;&gt;"",COUNTIF($B$5:$B$104,E5)=0),"不通过：上级编码不存在","通过"))))</x:f>
      </x:c>
    </x:row>
    <x:row r="6">
      <x:c r="A6" s="22"/>
      <x:c r="B6" s="22"/>
      <x:c r="C6" s="22"/>
      <x:c r="D6" s="22"/>
      <x:c r="E6" s="22"/>
      <x:c r="F6" s="22"/>
      <x:c r="G6" s="22"/>
      <x:c r="H6" s="31"/>
      <x:c r="I6" s="31"/>
      <x:c r="J6" s="22"/>
      <x:c r="K6" s="31"/>
      <x:c r="L6" s="22"/>
      <x:c r="M6" s="28" t="str">
        <x:f>IF(COUNTA(A6:L6)=0,"",IF(OR(A6="",B6="",C6="",D6="",G6="",J6=""),"不通过：缺少必填项",IF(COUNTIF($B$5:$B$104,B6)&gt;1,"不通过：编码重复",IF(AND(E6&lt;&gt;"",COUNTIF($B$5:$B$104,E6)=0),"不通过：上级编码不存在","通过"))))</x:f>
      </x:c>
    </x:row>
    <x:row r="7">
      <x:c r="A7" s="22"/>
      <x:c r="B7" s="22"/>
      <x:c r="C7" s="22"/>
      <x:c r="D7" s="22"/>
      <x:c r="E7" s="22"/>
      <x:c r="F7" s="22"/>
      <x:c r="G7" s="22"/>
      <x:c r="H7" s="31"/>
      <x:c r="I7" s="31"/>
      <x:c r="J7" s="22"/>
      <x:c r="K7" s="31"/>
      <x:c r="L7" s="22"/>
      <x:c r="M7" s="28" t="str">
        <x:f>IF(COUNTA(A7:L7)=0,"",IF(OR(A7="",B7="",C7="",D7="",G7="",J7=""),"不通过：缺少必填项",IF(COUNTIF($B$5:$B$104,B7)&gt;1,"不通过：编码重复",IF(AND(E7&lt;&gt;"",COUNTIF($B$5:$B$104,E7)=0),"不通过：上级编码不存在","通过"))))</x:f>
      </x:c>
    </x:row>
    <x:row r="8">
      <x:c r="A8" s="22"/>
      <x:c r="B8" s="22"/>
      <x:c r="C8" s="22"/>
      <x:c r="D8" s="22"/>
      <x:c r="E8" s="22"/>
      <x:c r="F8" s="22"/>
      <x:c r="G8" s="22"/>
      <x:c r="H8" s="31"/>
      <x:c r="I8" s="31"/>
      <x:c r="J8" s="22"/>
      <x:c r="K8" s="31"/>
      <x:c r="L8" s="22"/>
      <x:c r="M8" s="28" t="str">
        <x:f>IF(COUNTA(A8:L8)=0,"",IF(OR(A8="",B8="",C8="",D8="",G8="",J8=""),"不通过：缺少必填项",IF(COUNTIF($B$5:$B$104,B8)&gt;1,"不通过：编码重复",IF(AND(E8&lt;&gt;"",COUNTIF($B$5:$B$104,E8)=0),"不通过：上级编码不存在","通过"))))</x:f>
      </x:c>
    </x:row>
    <x:row r="9">
      <x:c r="A9" s="22"/>
      <x:c r="B9" s="22"/>
      <x:c r="C9" s="22"/>
      <x:c r="D9" s="22"/>
      <x:c r="E9" s="22"/>
      <x:c r="F9" s="22"/>
      <x:c r="G9" s="22"/>
      <x:c r="H9" s="31"/>
      <x:c r="I9" s="31"/>
      <x:c r="J9" s="22"/>
      <x:c r="K9" s="31"/>
      <x:c r="L9" s="22"/>
      <x:c r="M9" s="28" t="str">
        <x:f>IF(COUNTA(A9:L9)=0,"",IF(OR(A9="",B9="",C9="",D9="",G9="",J9=""),"不通过：缺少必填项",IF(COUNTIF($B$5:$B$104,B9)&gt;1,"不通过：编码重复",IF(AND(E9&lt;&gt;"",COUNTIF($B$5:$B$104,E9)=0),"不通过：上级编码不存在","通过"))))</x:f>
      </x:c>
    </x:row>
    <x:row r="10">
      <x:c r="A10" s="22"/>
      <x:c r="B10" s="22"/>
      <x:c r="C10" s="22"/>
      <x:c r="D10" s="22"/>
      <x:c r="E10" s="22"/>
      <x:c r="F10" s="22"/>
      <x:c r="G10" s="22"/>
      <x:c r="H10" s="31"/>
      <x:c r="I10" s="31"/>
      <x:c r="J10" s="22"/>
      <x:c r="K10" s="31"/>
      <x:c r="L10" s="22"/>
      <x:c r="M10" s="28" t="str">
        <x:f>IF(COUNTA(A10:L10)=0,"",IF(OR(A10="",B10="",C10="",D10="",G10="",J10=""),"不通过：缺少必填项",IF(COUNTIF($B$5:$B$104,B10)&gt;1,"不通过：编码重复",IF(AND(E10&lt;&gt;"",COUNTIF($B$5:$B$104,E10)=0),"不通过：上级编码不存在","通过"))))</x:f>
      </x:c>
    </x:row>
    <x:row r="11">
      <x:c r="A11" s="22"/>
      <x:c r="B11" s="22"/>
      <x:c r="C11" s="22"/>
      <x:c r="D11" s="22"/>
      <x:c r="E11" s="22"/>
      <x:c r="F11" s="22"/>
      <x:c r="G11" s="22"/>
      <x:c r="H11" s="31"/>
      <x:c r="I11" s="31"/>
      <x:c r="J11" s="22"/>
      <x:c r="K11" s="31"/>
      <x:c r="L11" s="22"/>
      <x:c r="M11" s="28" t="str">
        <x:f>IF(COUNTA(A11:L11)=0,"",IF(OR(A11="",B11="",C11="",D11="",G11="",J11=""),"不通过：缺少必填项",IF(COUNTIF($B$5:$B$104,B11)&gt;1,"不通过：编码重复",IF(AND(E11&lt;&gt;"",COUNTIF($B$5:$B$104,E11)=0),"不通过：上级编码不存在","通过"))))</x:f>
      </x:c>
    </x:row>
    <x:row r="12">
      <x:c r="A12" s="22"/>
      <x:c r="B12" s="22"/>
      <x:c r="C12" s="22"/>
      <x:c r="D12" s="22"/>
      <x:c r="E12" s="22"/>
      <x:c r="F12" s="22"/>
      <x:c r="G12" s="22"/>
      <x:c r="H12" s="31"/>
      <x:c r="I12" s="31"/>
      <x:c r="J12" s="22"/>
      <x:c r="K12" s="31"/>
      <x:c r="L12" s="22"/>
      <x:c r="M12" s="28" t="str">
        <x:f>IF(COUNTA(A12:L12)=0,"",IF(OR(A12="",B12="",C12="",D12="",G12="",J12=""),"不通过：缺少必填项",IF(COUNTIF($B$5:$B$104,B12)&gt;1,"不通过：编码重复",IF(AND(E12&lt;&gt;"",COUNTIF($B$5:$B$104,E12)=0),"不通过：上级编码不存在","通过"))))</x:f>
      </x:c>
    </x:row>
    <x:row r="13">
      <x:c r="A13" s="22"/>
      <x:c r="B13" s="22"/>
      <x:c r="C13" s="22"/>
      <x:c r="D13" s="22"/>
      <x:c r="E13" s="22"/>
      <x:c r="F13" s="22"/>
      <x:c r="G13" s="22"/>
      <x:c r="H13" s="31"/>
      <x:c r="I13" s="31"/>
      <x:c r="J13" s="22"/>
      <x:c r="K13" s="31"/>
      <x:c r="L13" s="22"/>
      <x:c r="M13" s="28" t="str">
        <x:f>IF(COUNTA(A13:L13)=0,"",IF(OR(A13="",B13="",C13="",D13="",G13="",J13=""),"不通过：缺少必填项",IF(COUNTIF($B$5:$B$104,B13)&gt;1,"不通过：编码重复",IF(AND(E13&lt;&gt;"",COUNTIF($B$5:$B$104,E13)=0),"不通过：上级编码不存在","通过"))))</x:f>
      </x:c>
    </x:row>
    <x:row r="14">
      <x:c r="A14" s="22"/>
      <x:c r="B14" s="22"/>
      <x:c r="C14" s="22"/>
      <x:c r="D14" s="22"/>
      <x:c r="E14" s="22"/>
      <x:c r="F14" s="22"/>
      <x:c r="G14" s="22"/>
      <x:c r="H14" s="31"/>
      <x:c r="I14" s="31"/>
      <x:c r="J14" s="22"/>
      <x:c r="K14" s="31"/>
      <x:c r="L14" s="22"/>
      <x:c r="M14" s="28" t="str">
        <x:f>IF(COUNTA(A14:L14)=0,"",IF(OR(A14="",B14="",C14="",D14="",G14="",J14=""),"不通过：缺少必填项",IF(COUNTIF($B$5:$B$104,B14)&gt;1,"不通过：编码重复",IF(AND(E14&lt;&gt;"",COUNTIF($B$5:$B$104,E14)=0),"不通过：上级编码不存在","通过"))))</x:f>
      </x:c>
    </x:row>
    <x:row r="15">
      <x:c r="A15" s="22"/>
      <x:c r="B15" s="22"/>
      <x:c r="C15" s="22"/>
      <x:c r="D15" s="22"/>
      <x:c r="E15" s="22"/>
      <x:c r="F15" s="22"/>
      <x:c r="G15" s="22"/>
      <x:c r="H15" s="31"/>
      <x:c r="I15" s="31"/>
      <x:c r="J15" s="22"/>
      <x:c r="K15" s="31"/>
      <x:c r="L15" s="22"/>
      <x:c r="M15" s="28" t="str">
        <x:f>IF(COUNTA(A15:L15)=0,"",IF(OR(A15="",B15="",C15="",D15="",G15="",J15=""),"不通过：缺少必填项",IF(COUNTIF($B$5:$B$104,B15)&gt;1,"不通过：编码重复",IF(AND(E15&lt;&gt;"",COUNTIF($B$5:$B$104,E15)=0),"不通过：上级编码不存在","通过"))))</x:f>
      </x:c>
    </x:row>
    <x:row r="16">
      <x:c r="A16" s="22"/>
      <x:c r="B16" s="22"/>
      <x:c r="C16" s="22"/>
      <x:c r="D16" s="22"/>
      <x:c r="E16" s="22"/>
      <x:c r="F16" s="22"/>
      <x:c r="G16" s="22"/>
      <x:c r="H16" s="31"/>
      <x:c r="I16" s="31"/>
      <x:c r="J16" s="22"/>
      <x:c r="K16" s="31"/>
      <x:c r="L16" s="22"/>
      <x:c r="M16" s="28" t="str">
        <x:f>IF(COUNTA(A16:L16)=0,"",IF(OR(A16="",B16="",C16="",D16="",G16="",J16=""),"不通过：缺少必填项",IF(COUNTIF($B$5:$B$104,B16)&gt;1,"不通过：编码重复",IF(AND(E16&lt;&gt;"",COUNTIF($B$5:$B$104,E16)=0),"不通过：上级编码不存在","通过"))))</x:f>
      </x:c>
    </x:row>
    <x:row r="17">
      <x:c r="A17" s="22"/>
      <x:c r="B17" s="22"/>
      <x:c r="C17" s="22"/>
      <x:c r="D17" s="22"/>
      <x:c r="E17" s="22"/>
      <x:c r="F17" s="22"/>
      <x:c r="G17" s="22"/>
      <x:c r="H17" s="31"/>
      <x:c r="I17" s="31"/>
      <x:c r="J17" s="22"/>
      <x:c r="K17" s="31"/>
      <x:c r="L17" s="22"/>
      <x:c r="M17" s="28" t="str">
        <x:f>IF(COUNTA(A17:L17)=0,"",IF(OR(A17="",B17="",C17="",D17="",G17="",J17=""),"不通过：缺少必填项",IF(COUNTIF($B$5:$B$104,B17)&gt;1,"不通过：编码重复",IF(AND(E17&lt;&gt;"",COUNTIF($B$5:$B$104,E17)=0),"不通过：上级编码不存在","通过"))))</x:f>
      </x:c>
    </x:row>
    <x:row r="18">
      <x:c r="A18" s="22"/>
      <x:c r="B18" s="22"/>
      <x:c r="C18" s="22"/>
      <x:c r="D18" s="22"/>
      <x:c r="E18" s="22"/>
      <x:c r="F18" s="22"/>
      <x:c r="G18" s="22"/>
      <x:c r="H18" s="31"/>
      <x:c r="I18" s="31"/>
      <x:c r="J18" s="22"/>
      <x:c r="K18" s="31"/>
      <x:c r="L18" s="22"/>
      <x:c r="M18" s="28" t="str">
        <x:f>IF(COUNTA(A18:L18)=0,"",IF(OR(A18="",B18="",C18="",D18="",G18="",J18=""),"不通过：缺少必填项",IF(COUNTIF($B$5:$B$104,B18)&gt;1,"不通过：编码重复",IF(AND(E18&lt;&gt;"",COUNTIF($B$5:$B$104,E18)=0),"不通过：上级编码不存在","通过"))))</x:f>
      </x:c>
    </x:row>
    <x:row r="19">
      <x:c r="A19" s="22"/>
      <x:c r="B19" s="22"/>
      <x:c r="C19" s="22"/>
      <x:c r="D19" s="22"/>
      <x:c r="E19" s="22"/>
      <x:c r="F19" s="22"/>
      <x:c r="G19" s="22"/>
      <x:c r="H19" s="31"/>
      <x:c r="I19" s="31"/>
      <x:c r="J19" s="22"/>
      <x:c r="K19" s="31"/>
      <x:c r="L19" s="22"/>
      <x:c r="M19" s="28" t="str">
        <x:f>IF(COUNTA(A19:L19)=0,"",IF(OR(A19="",B19="",C19="",D19="",G19="",J19=""),"不通过：缺少必填项",IF(COUNTIF($B$5:$B$104,B19)&gt;1,"不通过：编码重复",IF(AND(E19&lt;&gt;"",COUNTIF($B$5:$B$104,E19)=0),"不通过：上级编码不存在","通过"))))</x:f>
      </x:c>
    </x:row>
    <x:row r="20">
      <x:c r="A20" s="22"/>
      <x:c r="B20" s="22"/>
      <x:c r="C20" s="22"/>
      <x:c r="D20" s="22"/>
      <x:c r="E20" s="22"/>
      <x:c r="F20" s="22"/>
      <x:c r="G20" s="22"/>
      <x:c r="H20" s="31"/>
      <x:c r="I20" s="31"/>
      <x:c r="J20" s="22"/>
      <x:c r="K20" s="31"/>
      <x:c r="L20" s="22"/>
      <x:c r="M20" s="28" t="str">
        <x:f>IF(COUNTA(A20:L20)=0,"",IF(OR(A20="",B20="",C20="",D20="",G20="",J20=""),"不通过：缺少必填项",IF(COUNTIF($B$5:$B$104,B20)&gt;1,"不通过：编码重复",IF(AND(E20&lt;&gt;"",COUNTIF($B$5:$B$104,E20)=0),"不通过：上级编码不存在","通过"))))</x:f>
      </x:c>
    </x:row>
    <x:row r="21">
      <x:c r="A21" s="22"/>
      <x:c r="B21" s="22"/>
      <x:c r="C21" s="22"/>
      <x:c r="D21" s="22"/>
      <x:c r="E21" s="22"/>
      <x:c r="F21" s="22"/>
      <x:c r="G21" s="22"/>
      <x:c r="H21" s="31"/>
      <x:c r="I21" s="31"/>
      <x:c r="J21" s="22"/>
      <x:c r="K21" s="31"/>
      <x:c r="L21" s="22"/>
      <x:c r="M21" s="28" t="str">
        <x:f>IF(COUNTA(A21:L21)=0,"",IF(OR(A21="",B21="",C21="",D21="",G21="",J21=""),"不通过：缺少必填项",IF(COUNTIF($B$5:$B$104,B21)&gt;1,"不通过：编码重复",IF(AND(E21&lt;&gt;"",COUNTIF($B$5:$B$104,E21)=0),"不通过：上级编码不存在","通过"))))</x:f>
      </x:c>
    </x:row>
    <x:row r="22">
      <x:c r="A22" s="22"/>
      <x:c r="B22" s="22"/>
      <x:c r="C22" s="22"/>
      <x:c r="D22" s="22"/>
      <x:c r="E22" s="22"/>
      <x:c r="F22" s="22"/>
      <x:c r="G22" s="22"/>
      <x:c r="H22" s="31"/>
      <x:c r="I22" s="31"/>
      <x:c r="J22" s="22"/>
      <x:c r="K22" s="31"/>
      <x:c r="L22" s="22"/>
      <x:c r="M22" s="28" t="str">
        <x:f>IF(COUNTA(A22:L22)=0,"",IF(OR(A22="",B22="",C22="",D22="",G22="",J22=""),"不通过：缺少必填项",IF(COUNTIF($B$5:$B$104,B22)&gt;1,"不通过：编码重复",IF(AND(E22&lt;&gt;"",COUNTIF($B$5:$B$104,E22)=0),"不通过：上级编码不存在","通过"))))</x:f>
      </x:c>
    </x:row>
    <x:row r="23">
      <x:c r="A23" s="22"/>
      <x:c r="B23" s="22"/>
      <x:c r="C23" s="22"/>
      <x:c r="D23" s="22"/>
      <x:c r="E23" s="22"/>
      <x:c r="F23" s="22"/>
      <x:c r="G23" s="22"/>
      <x:c r="H23" s="31"/>
      <x:c r="I23" s="31"/>
      <x:c r="J23" s="22"/>
      <x:c r="K23" s="31"/>
      <x:c r="L23" s="22"/>
      <x:c r="M23" s="28" t="str">
        <x:f>IF(COUNTA(A23:L23)=0,"",IF(OR(A23="",B23="",C23="",D23="",G23="",J23=""),"不通过：缺少必填项",IF(COUNTIF($B$5:$B$104,B23)&gt;1,"不通过：编码重复",IF(AND(E23&lt;&gt;"",COUNTIF($B$5:$B$104,E23)=0),"不通过：上级编码不存在","通过"))))</x:f>
      </x:c>
    </x:row>
    <x:row r="24">
      <x:c r="A24" s="22"/>
      <x:c r="B24" s="22"/>
      <x:c r="C24" s="22"/>
      <x:c r="D24" s="22"/>
      <x:c r="E24" s="22"/>
      <x:c r="F24" s="22"/>
      <x:c r="G24" s="22"/>
      <x:c r="H24" s="31"/>
      <x:c r="I24" s="31"/>
      <x:c r="J24" s="22"/>
      <x:c r="K24" s="31"/>
      <x:c r="L24" s="22"/>
      <x:c r="M24" s="28" t="str">
        <x:f>IF(COUNTA(A24:L24)=0,"",IF(OR(A24="",B24="",C24="",D24="",G24="",J24=""),"不通过：缺少必填项",IF(COUNTIF($B$5:$B$104,B24)&gt;1,"不通过：编码重复",IF(AND(E24&lt;&gt;"",COUNTIF($B$5:$B$104,E24)=0),"不通过：上级编码不存在","通过"))))</x:f>
      </x:c>
    </x:row>
    <x:row r="25">
      <x:c r="A25" s="22"/>
      <x:c r="B25" s="22"/>
      <x:c r="C25" s="22"/>
      <x:c r="D25" s="22"/>
      <x:c r="E25" s="22"/>
      <x:c r="F25" s="22"/>
      <x:c r="G25" s="22"/>
      <x:c r="H25" s="31"/>
      <x:c r="I25" s="31"/>
      <x:c r="J25" s="22"/>
      <x:c r="K25" s="31"/>
      <x:c r="L25" s="22"/>
      <x:c r="M25" s="28" t="str">
        <x:f>IF(COUNTA(A25:L25)=0,"",IF(OR(A25="",B25="",C25="",D25="",G25="",J25=""),"不通过：缺少必填项",IF(COUNTIF($B$5:$B$104,B25)&gt;1,"不通过：编码重复",IF(AND(E25&lt;&gt;"",COUNTIF($B$5:$B$104,E25)=0),"不通过：上级编码不存在","通过"))))</x:f>
      </x:c>
    </x:row>
    <x:row r="26">
      <x:c r="A26" s="22"/>
      <x:c r="B26" s="22"/>
      <x:c r="C26" s="22"/>
      <x:c r="D26" s="22"/>
      <x:c r="E26" s="22"/>
      <x:c r="F26" s="22"/>
      <x:c r="G26" s="22"/>
      <x:c r="H26" s="31"/>
      <x:c r="I26" s="31"/>
      <x:c r="J26" s="22"/>
      <x:c r="K26" s="31"/>
      <x:c r="L26" s="22"/>
      <x:c r="M26" s="28" t="str">
        <x:f>IF(COUNTA(A26:L26)=0,"",IF(OR(A26="",B26="",C26="",D26="",G26="",J26=""),"不通过：缺少必填项",IF(COUNTIF($B$5:$B$104,B26)&gt;1,"不通过：编码重复",IF(AND(E26&lt;&gt;"",COUNTIF($B$5:$B$104,E26)=0),"不通过：上级编码不存在","通过"))))</x:f>
      </x:c>
    </x:row>
    <x:row r="27">
      <x:c r="A27" s="22"/>
      <x:c r="B27" s="22"/>
      <x:c r="C27" s="22"/>
      <x:c r="D27" s="22"/>
      <x:c r="E27" s="22"/>
      <x:c r="F27" s="22"/>
      <x:c r="G27" s="22"/>
      <x:c r="H27" s="31"/>
      <x:c r="I27" s="31"/>
      <x:c r="J27" s="22"/>
      <x:c r="K27" s="31"/>
      <x:c r="L27" s="22"/>
      <x:c r="M27" s="28" t="str">
        <x:f>IF(COUNTA(A27:L27)=0,"",IF(OR(A27="",B27="",C27="",D27="",G27="",J27=""),"不通过：缺少必填项",IF(COUNTIF($B$5:$B$104,B27)&gt;1,"不通过：编码重复",IF(AND(E27&lt;&gt;"",COUNTIF($B$5:$B$104,E27)=0),"不通过：上级编码不存在","通过"))))</x:f>
      </x:c>
    </x:row>
    <x:row r="28">
      <x:c r="A28" s="22"/>
      <x:c r="B28" s="22"/>
      <x:c r="C28" s="22"/>
      <x:c r="D28" s="22"/>
      <x:c r="E28" s="22"/>
      <x:c r="F28" s="22"/>
      <x:c r="G28" s="22"/>
      <x:c r="H28" s="31"/>
      <x:c r="I28" s="31"/>
      <x:c r="J28" s="22"/>
      <x:c r="K28" s="31"/>
      <x:c r="L28" s="22"/>
      <x:c r="M28" s="28" t="str">
        <x:f>IF(COUNTA(A28:L28)=0,"",IF(OR(A28="",B28="",C28="",D28="",G28="",J28=""),"不通过：缺少必填项",IF(COUNTIF($B$5:$B$104,B28)&gt;1,"不通过：编码重复",IF(AND(E28&lt;&gt;"",COUNTIF($B$5:$B$104,E28)=0),"不通过：上级编码不存在","通过"))))</x:f>
      </x:c>
    </x:row>
    <x:row r="29">
      <x:c r="A29" s="22"/>
      <x:c r="B29" s="22"/>
      <x:c r="C29" s="22"/>
      <x:c r="D29" s="22"/>
      <x:c r="E29" s="22"/>
      <x:c r="F29" s="22"/>
      <x:c r="G29" s="22"/>
      <x:c r="H29" s="31"/>
      <x:c r="I29" s="31"/>
      <x:c r="J29" s="22"/>
      <x:c r="K29" s="31"/>
      <x:c r="L29" s="22"/>
      <x:c r="M29" s="28" t="str">
        <x:f>IF(COUNTA(A29:L29)=0,"",IF(OR(A29="",B29="",C29="",D29="",G29="",J29=""),"不通过：缺少必填项",IF(COUNTIF($B$5:$B$104,B29)&gt;1,"不通过：编码重复",IF(AND(E29&lt;&gt;"",COUNTIF($B$5:$B$104,E29)=0),"不通过：上级编码不存在","通过"))))</x:f>
      </x:c>
    </x:row>
    <x:row r="30">
      <x:c r="A30" s="22"/>
      <x:c r="B30" s="22"/>
      <x:c r="C30" s="22"/>
      <x:c r="D30" s="22"/>
      <x:c r="E30" s="22"/>
      <x:c r="F30" s="22"/>
      <x:c r="G30" s="22"/>
      <x:c r="H30" s="31"/>
      <x:c r="I30" s="31"/>
      <x:c r="J30" s="22"/>
      <x:c r="K30" s="31"/>
      <x:c r="L30" s="22"/>
      <x:c r="M30" s="28" t="str">
        <x:f>IF(COUNTA(A30:L30)=0,"",IF(OR(A30="",B30="",C30="",D30="",G30="",J30=""),"不通过：缺少必填项",IF(COUNTIF($B$5:$B$104,B30)&gt;1,"不通过：编码重复",IF(AND(E30&lt;&gt;"",COUNTIF($B$5:$B$104,E30)=0),"不通过：上级编码不存在","通过"))))</x:f>
      </x:c>
    </x:row>
    <x:row r="31">
      <x:c r="A31" s="22"/>
      <x:c r="B31" s="22"/>
      <x:c r="C31" s="22"/>
      <x:c r="D31" s="22"/>
      <x:c r="E31" s="22"/>
      <x:c r="F31" s="22"/>
      <x:c r="G31" s="22"/>
      <x:c r="H31" s="31"/>
      <x:c r="I31" s="31"/>
      <x:c r="J31" s="22"/>
      <x:c r="K31" s="31"/>
      <x:c r="L31" s="22"/>
      <x:c r="M31" s="28" t="str">
        <x:f>IF(COUNTA(A31:L31)=0,"",IF(OR(A31="",B31="",C31="",D31="",G31="",J31=""),"不通过：缺少必填项",IF(COUNTIF($B$5:$B$104,B31)&gt;1,"不通过：编码重复",IF(AND(E31&lt;&gt;"",COUNTIF($B$5:$B$104,E31)=0),"不通过：上级编码不存在","通过"))))</x:f>
      </x:c>
    </x:row>
    <x:row r="32">
      <x:c r="A32" s="22"/>
      <x:c r="B32" s="22"/>
      <x:c r="C32" s="22"/>
      <x:c r="D32" s="22"/>
      <x:c r="E32" s="22"/>
      <x:c r="F32" s="22"/>
      <x:c r="G32" s="22"/>
      <x:c r="H32" s="31"/>
      <x:c r="I32" s="31"/>
      <x:c r="J32" s="22"/>
      <x:c r="K32" s="31"/>
      <x:c r="L32" s="22"/>
      <x:c r="M32" s="28" t="str">
        <x:f>IF(COUNTA(A32:L32)=0,"",IF(OR(A32="",B32="",C32="",D32="",G32="",J32=""),"不通过：缺少必填项",IF(COUNTIF($B$5:$B$104,B32)&gt;1,"不通过：编码重复",IF(AND(E32&lt;&gt;"",COUNTIF($B$5:$B$104,E32)=0),"不通过：上级编码不存在","通过"))))</x:f>
      </x:c>
    </x:row>
    <x:row r="33">
      <x:c r="A33" s="22"/>
      <x:c r="B33" s="22"/>
      <x:c r="C33" s="22"/>
      <x:c r="D33" s="22"/>
      <x:c r="E33" s="22"/>
      <x:c r="F33" s="22"/>
      <x:c r="G33" s="22"/>
      <x:c r="H33" s="31"/>
      <x:c r="I33" s="31"/>
      <x:c r="J33" s="22"/>
      <x:c r="K33" s="31"/>
      <x:c r="L33" s="22"/>
      <x:c r="M33" s="28" t="str">
        <x:f>IF(COUNTA(A33:L33)=0,"",IF(OR(A33="",B33="",C33="",D33="",G33="",J33=""),"不通过：缺少必填项",IF(COUNTIF($B$5:$B$104,B33)&gt;1,"不通过：编码重复",IF(AND(E33&lt;&gt;"",COUNTIF($B$5:$B$104,E33)=0),"不通过：上级编码不存在","通过"))))</x:f>
      </x:c>
    </x:row>
    <x:row r="34">
      <x:c r="A34" s="22"/>
      <x:c r="B34" s="22"/>
      <x:c r="C34" s="22"/>
      <x:c r="D34" s="22"/>
      <x:c r="E34" s="22"/>
      <x:c r="F34" s="22"/>
      <x:c r="G34" s="22"/>
      <x:c r="H34" s="31"/>
      <x:c r="I34" s="31"/>
      <x:c r="J34" s="22"/>
      <x:c r="K34" s="31"/>
      <x:c r="L34" s="22"/>
      <x:c r="M34" s="28" t="str">
        <x:f>IF(COUNTA(A34:L34)=0,"",IF(OR(A34="",B34="",C34="",D34="",G34="",J34=""),"不通过：缺少必填项",IF(COUNTIF($B$5:$B$104,B34)&gt;1,"不通过：编码重复",IF(AND(E34&lt;&gt;"",COUNTIF($B$5:$B$104,E34)=0),"不通过：上级编码不存在","通过"))))</x:f>
      </x:c>
    </x:row>
    <x:row r="35">
      <x:c r="A35" s="22"/>
      <x:c r="B35" s="22"/>
      <x:c r="C35" s="22"/>
      <x:c r="D35" s="22"/>
      <x:c r="E35" s="22"/>
      <x:c r="F35" s="22"/>
      <x:c r="G35" s="22"/>
      <x:c r="H35" s="31"/>
      <x:c r="I35" s="31"/>
      <x:c r="J35" s="22"/>
      <x:c r="K35" s="31"/>
      <x:c r="L35" s="22"/>
      <x:c r="M35" s="28" t="str">
        <x:f>IF(COUNTA(A35:L35)=0,"",IF(OR(A35="",B35="",C35="",D35="",G35="",J35=""),"不通过：缺少必填项",IF(COUNTIF($B$5:$B$104,B35)&gt;1,"不通过：编码重复",IF(AND(E35&lt;&gt;"",COUNTIF($B$5:$B$104,E35)=0),"不通过：上级编码不存在","通过"))))</x:f>
      </x:c>
    </x:row>
    <x:row r="36">
      <x:c r="A36" s="22"/>
      <x:c r="B36" s="22"/>
      <x:c r="C36" s="22"/>
      <x:c r="D36" s="22"/>
      <x:c r="E36" s="22"/>
      <x:c r="F36" s="22"/>
      <x:c r="G36" s="22"/>
      <x:c r="H36" s="31"/>
      <x:c r="I36" s="31"/>
      <x:c r="J36" s="22"/>
      <x:c r="K36" s="31"/>
      <x:c r="L36" s="22"/>
      <x:c r="M36" s="28" t="str">
        <x:f>IF(COUNTA(A36:L36)=0,"",IF(OR(A36="",B36="",C36="",D36="",G36="",J36=""),"不通过：缺少必填项",IF(COUNTIF($B$5:$B$104,B36)&gt;1,"不通过：编码重复",IF(AND(E36&lt;&gt;"",COUNTIF($B$5:$B$104,E36)=0),"不通过：上级编码不存在","通过"))))</x:f>
      </x:c>
    </x:row>
    <x:row r="37">
      <x:c r="A37" s="22"/>
      <x:c r="B37" s="22"/>
      <x:c r="C37" s="22"/>
      <x:c r="D37" s="22"/>
      <x:c r="E37" s="22"/>
      <x:c r="F37" s="22"/>
      <x:c r="G37" s="22"/>
      <x:c r="H37" s="31"/>
      <x:c r="I37" s="31"/>
      <x:c r="J37" s="22"/>
      <x:c r="K37" s="31"/>
      <x:c r="L37" s="22"/>
      <x:c r="M37" s="28" t="str">
        <x:f>IF(COUNTA(A37:L37)=0,"",IF(OR(A37="",B37="",C37="",D37="",G37="",J37=""),"不通过：缺少必填项",IF(COUNTIF($B$5:$B$104,B37)&gt;1,"不通过：编码重复",IF(AND(E37&lt;&gt;"",COUNTIF($B$5:$B$104,E37)=0),"不通过：上级编码不存在","通过"))))</x:f>
      </x:c>
    </x:row>
    <x:row r="38">
      <x:c r="A38" s="22"/>
      <x:c r="B38" s="22"/>
      <x:c r="C38" s="22"/>
      <x:c r="D38" s="22"/>
      <x:c r="E38" s="22"/>
      <x:c r="F38" s="22"/>
      <x:c r="G38" s="22"/>
      <x:c r="H38" s="31"/>
      <x:c r="I38" s="31"/>
      <x:c r="J38" s="22"/>
      <x:c r="K38" s="31"/>
      <x:c r="L38" s="22"/>
      <x:c r="M38" s="28" t="str">
        <x:f>IF(COUNTA(A38:L38)=0,"",IF(OR(A38="",B38="",C38="",D38="",G38="",J38=""),"不通过：缺少必填项",IF(COUNTIF($B$5:$B$104,B38)&gt;1,"不通过：编码重复",IF(AND(E38&lt;&gt;"",COUNTIF($B$5:$B$104,E38)=0),"不通过：上级编码不存在","通过"))))</x:f>
      </x:c>
    </x:row>
    <x:row r="39">
      <x:c r="A39" s="22"/>
      <x:c r="B39" s="22"/>
      <x:c r="C39" s="22"/>
      <x:c r="D39" s="22"/>
      <x:c r="E39" s="22"/>
      <x:c r="F39" s="22"/>
      <x:c r="G39" s="22"/>
      <x:c r="H39" s="31"/>
      <x:c r="I39" s="31"/>
      <x:c r="J39" s="22"/>
      <x:c r="K39" s="31"/>
      <x:c r="L39" s="22"/>
      <x:c r="M39" s="28" t="str">
        <x:f>IF(COUNTA(A39:L39)=0,"",IF(OR(A39="",B39="",C39="",D39="",G39="",J39=""),"不通过：缺少必填项",IF(COUNTIF($B$5:$B$104,B39)&gt;1,"不通过：编码重复",IF(AND(E39&lt;&gt;"",COUNTIF($B$5:$B$104,E39)=0),"不通过：上级编码不存在","通过"))))</x:f>
      </x:c>
    </x:row>
    <x:row r="40">
      <x:c r="A40" s="22"/>
      <x:c r="B40" s="22"/>
      <x:c r="C40" s="22"/>
      <x:c r="D40" s="22"/>
      <x:c r="E40" s="22"/>
      <x:c r="F40" s="22"/>
      <x:c r="G40" s="22"/>
      <x:c r="H40" s="31"/>
      <x:c r="I40" s="31"/>
      <x:c r="J40" s="22"/>
      <x:c r="K40" s="31"/>
      <x:c r="L40" s="22"/>
      <x:c r="M40" s="28" t="str">
        <x:f>IF(COUNTA(A40:L40)=0,"",IF(OR(A40="",B40="",C40="",D40="",G40="",J40=""),"不通过：缺少必填项",IF(COUNTIF($B$5:$B$104,B40)&gt;1,"不通过：编码重复",IF(AND(E40&lt;&gt;"",COUNTIF($B$5:$B$104,E40)=0),"不通过：上级编码不存在","通过"))))</x:f>
      </x:c>
    </x:row>
    <x:row r="41">
      <x:c r="A41" s="22"/>
      <x:c r="B41" s="22"/>
      <x:c r="C41" s="22"/>
      <x:c r="D41" s="22"/>
      <x:c r="E41" s="22"/>
      <x:c r="F41" s="22"/>
      <x:c r="G41" s="22"/>
      <x:c r="H41" s="31"/>
      <x:c r="I41" s="31"/>
      <x:c r="J41" s="22"/>
      <x:c r="K41" s="31"/>
      <x:c r="L41" s="22"/>
      <x:c r="M41" s="28" t="str">
        <x:f>IF(COUNTA(A41:L41)=0,"",IF(OR(A41="",B41="",C41="",D41="",G41="",J41=""),"不通过：缺少必填项",IF(COUNTIF($B$5:$B$104,B41)&gt;1,"不通过：编码重复",IF(AND(E41&lt;&gt;"",COUNTIF($B$5:$B$104,E41)=0),"不通过：上级编码不存在","通过"))))</x:f>
      </x:c>
    </x:row>
    <x:row r="42">
      <x:c r="A42" s="22"/>
      <x:c r="B42" s="22"/>
      <x:c r="C42" s="22"/>
      <x:c r="D42" s="22"/>
      <x:c r="E42" s="22"/>
      <x:c r="F42" s="22"/>
      <x:c r="G42" s="22"/>
      <x:c r="H42" s="31"/>
      <x:c r="I42" s="31"/>
      <x:c r="J42" s="22"/>
      <x:c r="K42" s="31"/>
      <x:c r="L42" s="22"/>
      <x:c r="M42" s="28" t="str">
        <x:f>IF(COUNTA(A42:L42)=0,"",IF(OR(A42="",B42="",C42="",D42="",G42="",J42=""),"不通过：缺少必填项",IF(COUNTIF($B$5:$B$104,B42)&gt;1,"不通过：编码重复",IF(AND(E42&lt;&gt;"",COUNTIF($B$5:$B$104,E42)=0),"不通过：上级编码不存在","通过"))))</x:f>
      </x:c>
    </x:row>
    <x:row r="43">
      <x:c r="A43" s="22"/>
      <x:c r="B43" s="22"/>
      <x:c r="C43" s="22"/>
      <x:c r="D43" s="22"/>
      <x:c r="E43" s="22"/>
      <x:c r="F43" s="22"/>
      <x:c r="G43" s="22"/>
      <x:c r="H43" s="31"/>
      <x:c r="I43" s="31"/>
      <x:c r="J43" s="22"/>
      <x:c r="K43" s="31"/>
      <x:c r="L43" s="22"/>
      <x:c r="M43" s="28" t="str">
        <x:f>IF(COUNTA(A43:L43)=0,"",IF(OR(A43="",B43="",C43="",D43="",G43="",J43=""),"不通过：缺少必填项",IF(COUNTIF($B$5:$B$104,B43)&gt;1,"不通过：编码重复",IF(AND(E43&lt;&gt;"",COUNTIF($B$5:$B$104,E43)=0),"不通过：上级编码不存在","通过"))))</x:f>
      </x:c>
    </x:row>
    <x:row r="44">
      <x:c r="A44" s="22"/>
      <x:c r="B44" s="22"/>
      <x:c r="C44" s="22"/>
      <x:c r="D44" s="22"/>
      <x:c r="E44" s="22"/>
      <x:c r="F44" s="22"/>
      <x:c r="G44" s="22"/>
      <x:c r="H44" s="31"/>
      <x:c r="I44" s="31"/>
      <x:c r="J44" s="22"/>
      <x:c r="K44" s="31"/>
      <x:c r="L44" s="22"/>
      <x:c r="M44" s="28" t="str">
        <x:f>IF(COUNTA(A44:L44)=0,"",IF(OR(A44="",B44="",C44="",D44="",G44="",J44=""),"不通过：缺少必填项",IF(COUNTIF($B$5:$B$104,B44)&gt;1,"不通过：编码重复",IF(AND(E44&lt;&gt;"",COUNTIF($B$5:$B$104,E44)=0),"不通过：上级编码不存在","通过"))))</x:f>
      </x:c>
    </x:row>
    <x:row r="45">
      <x:c r="A45" s="22"/>
      <x:c r="B45" s="22"/>
      <x:c r="C45" s="22"/>
      <x:c r="D45" s="22"/>
      <x:c r="E45" s="22"/>
      <x:c r="F45" s="22"/>
      <x:c r="G45" s="22"/>
      <x:c r="H45" s="31"/>
      <x:c r="I45" s="31"/>
      <x:c r="J45" s="22"/>
      <x:c r="K45" s="31"/>
      <x:c r="L45" s="22"/>
      <x:c r="M45" s="28" t="str">
        <x:f>IF(COUNTA(A45:L45)=0,"",IF(OR(A45="",B45="",C45="",D45="",G45="",J45=""),"不通过：缺少必填项",IF(COUNTIF($B$5:$B$104,B45)&gt;1,"不通过：编码重复",IF(AND(E45&lt;&gt;"",COUNTIF($B$5:$B$104,E45)=0),"不通过：上级编码不存在","通过"))))</x:f>
      </x:c>
    </x:row>
    <x:row r="46">
      <x:c r="A46" s="22"/>
      <x:c r="B46" s="22"/>
      <x:c r="C46" s="22"/>
      <x:c r="D46" s="22"/>
      <x:c r="E46" s="22"/>
      <x:c r="F46" s="22"/>
      <x:c r="G46" s="22"/>
      <x:c r="H46" s="31"/>
      <x:c r="I46" s="31"/>
      <x:c r="J46" s="22"/>
      <x:c r="K46" s="31"/>
      <x:c r="L46" s="22"/>
      <x:c r="M46" s="28" t="str">
        <x:f>IF(COUNTA(A46:L46)=0,"",IF(OR(A46="",B46="",C46="",D46="",G46="",J46=""),"不通过：缺少必填项",IF(COUNTIF($B$5:$B$104,B46)&gt;1,"不通过：编码重复",IF(AND(E46&lt;&gt;"",COUNTIF($B$5:$B$104,E46)=0),"不通过：上级编码不存在","通过"))))</x:f>
      </x:c>
    </x:row>
    <x:row r="47">
      <x:c r="A47" s="22"/>
      <x:c r="B47" s="22"/>
      <x:c r="C47" s="22"/>
      <x:c r="D47" s="22"/>
      <x:c r="E47" s="22"/>
      <x:c r="F47" s="22"/>
      <x:c r="G47" s="22"/>
      <x:c r="H47" s="31"/>
      <x:c r="I47" s="31"/>
      <x:c r="J47" s="22"/>
      <x:c r="K47" s="31"/>
      <x:c r="L47" s="22"/>
      <x:c r="M47" s="28" t="str">
        <x:f>IF(COUNTA(A47:L47)=0,"",IF(OR(A47="",B47="",C47="",D47="",G47="",J47=""),"不通过：缺少必填项",IF(COUNTIF($B$5:$B$104,B47)&gt;1,"不通过：编码重复",IF(AND(E47&lt;&gt;"",COUNTIF($B$5:$B$104,E47)=0),"不通过：上级编码不存在","通过"))))</x:f>
      </x:c>
    </x:row>
    <x:row r="48">
      <x:c r="A48" s="22"/>
      <x:c r="B48" s="22"/>
      <x:c r="C48" s="22"/>
      <x:c r="D48" s="22"/>
      <x:c r="E48" s="22"/>
      <x:c r="F48" s="22"/>
      <x:c r="G48" s="22"/>
      <x:c r="H48" s="31"/>
      <x:c r="I48" s="31"/>
      <x:c r="J48" s="22"/>
      <x:c r="K48" s="31"/>
      <x:c r="L48" s="22"/>
      <x:c r="M48" s="28" t="str">
        <x:f>IF(COUNTA(A48:L48)=0,"",IF(OR(A48="",B48="",C48="",D48="",G48="",J48=""),"不通过：缺少必填项",IF(COUNTIF($B$5:$B$104,B48)&gt;1,"不通过：编码重复",IF(AND(E48&lt;&gt;"",COUNTIF($B$5:$B$104,E48)=0),"不通过：上级编码不存在","通过"))))</x:f>
      </x:c>
    </x:row>
    <x:row r="49">
      <x:c r="A49" s="22"/>
      <x:c r="B49" s="22"/>
      <x:c r="C49" s="22"/>
      <x:c r="D49" s="22"/>
      <x:c r="E49" s="22"/>
      <x:c r="F49" s="22"/>
      <x:c r="G49" s="22"/>
      <x:c r="H49" s="31"/>
      <x:c r="I49" s="31"/>
      <x:c r="J49" s="22"/>
      <x:c r="K49" s="31"/>
      <x:c r="L49" s="22"/>
      <x:c r="M49" s="28" t="str">
        <x:f>IF(COUNTA(A49:L49)=0,"",IF(OR(A49="",B49="",C49="",D49="",G49="",J49=""),"不通过：缺少必填项",IF(COUNTIF($B$5:$B$104,B49)&gt;1,"不通过：编码重复",IF(AND(E49&lt;&gt;"",COUNTIF($B$5:$B$104,E49)=0),"不通过：上级编码不存在","通过"))))</x:f>
      </x:c>
    </x:row>
    <x:row r="50">
      <x:c r="A50" s="22"/>
      <x:c r="B50" s="22"/>
      <x:c r="C50" s="22"/>
      <x:c r="D50" s="22"/>
      <x:c r="E50" s="22"/>
      <x:c r="F50" s="22"/>
      <x:c r="G50" s="22"/>
      <x:c r="H50" s="31"/>
      <x:c r="I50" s="31"/>
      <x:c r="J50" s="22"/>
      <x:c r="K50" s="31"/>
      <x:c r="L50" s="22"/>
      <x:c r="M50" s="28" t="str">
        <x:f>IF(COUNTA(A50:L50)=0,"",IF(OR(A50="",B50="",C50="",D50="",G50="",J50=""),"不通过：缺少必填项",IF(COUNTIF($B$5:$B$104,B50)&gt;1,"不通过：编码重复",IF(AND(E50&lt;&gt;"",COUNTIF($B$5:$B$104,E50)=0),"不通过：上级编码不存在","通过"))))</x:f>
      </x:c>
    </x:row>
    <x:row r="51">
      <x:c r="A51" s="22"/>
      <x:c r="B51" s="22"/>
      <x:c r="C51" s="22"/>
      <x:c r="D51" s="22"/>
      <x:c r="E51" s="22"/>
      <x:c r="F51" s="22"/>
      <x:c r="G51" s="22"/>
      <x:c r="H51" s="31"/>
      <x:c r="I51" s="31"/>
      <x:c r="J51" s="22"/>
      <x:c r="K51" s="31"/>
      <x:c r="L51" s="22"/>
      <x:c r="M51" s="28" t="str">
        <x:f>IF(COUNTA(A51:L51)=0,"",IF(OR(A51="",B51="",C51="",D51="",G51="",J51=""),"不通过：缺少必填项",IF(COUNTIF($B$5:$B$104,B51)&gt;1,"不通过：编码重复",IF(AND(E51&lt;&gt;"",COUNTIF($B$5:$B$104,E51)=0),"不通过：上级编码不存在","通过"))))</x:f>
      </x:c>
    </x:row>
    <x:row r="52">
      <x:c r="A52" s="22"/>
      <x:c r="B52" s="22"/>
      <x:c r="C52" s="22"/>
      <x:c r="D52" s="22"/>
      <x:c r="E52" s="22"/>
      <x:c r="F52" s="22"/>
      <x:c r="G52" s="22"/>
      <x:c r="H52" s="31"/>
      <x:c r="I52" s="31"/>
      <x:c r="J52" s="22"/>
      <x:c r="K52" s="31"/>
      <x:c r="L52" s="22"/>
      <x:c r="M52" s="28" t="str">
        <x:f>IF(COUNTA(A52:L52)=0,"",IF(OR(A52="",B52="",C52="",D52="",G52="",J52=""),"不通过：缺少必填项",IF(COUNTIF($B$5:$B$104,B52)&gt;1,"不通过：编码重复",IF(AND(E52&lt;&gt;"",COUNTIF($B$5:$B$104,E52)=0),"不通过：上级编码不存在","通过"))))</x:f>
      </x:c>
    </x:row>
    <x:row r="53">
      <x:c r="A53" s="22"/>
      <x:c r="B53" s="22"/>
      <x:c r="C53" s="22"/>
      <x:c r="D53" s="22"/>
      <x:c r="E53" s="22"/>
      <x:c r="F53" s="22"/>
      <x:c r="G53" s="22"/>
      <x:c r="H53" s="31"/>
      <x:c r="I53" s="31"/>
      <x:c r="J53" s="22"/>
      <x:c r="K53" s="31"/>
      <x:c r="L53" s="22"/>
      <x:c r="M53" s="28" t="str">
        <x:f>IF(COUNTA(A53:L53)=0,"",IF(OR(A53="",B53="",C53="",D53="",G53="",J53=""),"不通过：缺少必填项",IF(COUNTIF($B$5:$B$104,B53)&gt;1,"不通过：编码重复",IF(AND(E53&lt;&gt;"",COUNTIF($B$5:$B$104,E53)=0),"不通过：上级编码不存在","通过"))))</x:f>
      </x:c>
    </x:row>
    <x:row r="54">
      <x:c r="A54" s="22"/>
      <x:c r="B54" s="22"/>
      <x:c r="C54" s="22"/>
      <x:c r="D54" s="22"/>
      <x:c r="E54" s="22"/>
      <x:c r="F54" s="22"/>
      <x:c r="G54" s="22"/>
      <x:c r="H54" s="31"/>
      <x:c r="I54" s="31"/>
      <x:c r="J54" s="22"/>
      <x:c r="K54" s="31"/>
      <x:c r="L54" s="22"/>
      <x:c r="M54" s="28" t="str">
        <x:f>IF(COUNTA(A54:L54)=0,"",IF(OR(A54="",B54="",C54="",D54="",G54="",J54=""),"不通过：缺少必填项",IF(COUNTIF($B$5:$B$104,B54)&gt;1,"不通过：编码重复",IF(AND(E54&lt;&gt;"",COUNTIF($B$5:$B$104,E54)=0),"不通过：上级编码不存在","通过"))))</x:f>
      </x:c>
    </x:row>
    <x:row r="55">
      <x:c r="A55" s="22"/>
      <x:c r="B55" s="22"/>
      <x:c r="C55" s="22"/>
      <x:c r="D55" s="22"/>
      <x:c r="E55" s="22"/>
      <x:c r="F55" s="22"/>
      <x:c r="G55" s="22"/>
      <x:c r="H55" s="31"/>
      <x:c r="I55" s="31"/>
      <x:c r="J55" s="22"/>
      <x:c r="K55" s="31"/>
      <x:c r="L55" s="22"/>
      <x:c r="M55" s="28" t="str">
        <x:f>IF(COUNTA(A55:L55)=0,"",IF(OR(A55="",B55="",C55="",D55="",G55="",J55=""),"不通过：缺少必填项",IF(COUNTIF($B$5:$B$104,B55)&gt;1,"不通过：编码重复",IF(AND(E55&lt;&gt;"",COUNTIF($B$5:$B$104,E55)=0),"不通过：上级编码不存在","通过"))))</x:f>
      </x:c>
    </x:row>
    <x:row r="56">
      <x:c r="A56" s="22"/>
      <x:c r="B56" s="22"/>
      <x:c r="C56" s="22"/>
      <x:c r="D56" s="22"/>
      <x:c r="E56" s="22"/>
      <x:c r="F56" s="22"/>
      <x:c r="G56" s="22"/>
      <x:c r="H56" s="31"/>
      <x:c r="I56" s="31"/>
      <x:c r="J56" s="22"/>
      <x:c r="K56" s="31"/>
      <x:c r="L56" s="22"/>
      <x:c r="M56" s="28" t="str">
        <x:f>IF(COUNTA(A56:L56)=0,"",IF(OR(A56="",B56="",C56="",D56="",G56="",J56=""),"不通过：缺少必填项",IF(COUNTIF($B$5:$B$104,B56)&gt;1,"不通过：编码重复",IF(AND(E56&lt;&gt;"",COUNTIF($B$5:$B$104,E56)=0),"不通过：上级编码不存在","通过"))))</x:f>
      </x:c>
    </x:row>
    <x:row r="57">
      <x:c r="A57" s="22"/>
      <x:c r="B57" s="22"/>
      <x:c r="C57" s="22"/>
      <x:c r="D57" s="22"/>
      <x:c r="E57" s="22"/>
      <x:c r="F57" s="22"/>
      <x:c r="G57" s="22"/>
      <x:c r="H57" s="31"/>
      <x:c r="I57" s="31"/>
      <x:c r="J57" s="22"/>
      <x:c r="K57" s="31"/>
      <x:c r="L57" s="22"/>
      <x:c r="M57" s="28" t="str">
        <x:f>IF(COUNTA(A57:L57)=0,"",IF(OR(A57="",B57="",C57="",D57="",G57="",J57=""),"不通过：缺少必填项",IF(COUNTIF($B$5:$B$104,B57)&gt;1,"不通过：编码重复",IF(AND(E57&lt;&gt;"",COUNTIF($B$5:$B$104,E57)=0),"不通过：上级编码不存在","通过"))))</x:f>
      </x:c>
    </x:row>
    <x:row r="58">
      <x:c r="A58" s="22"/>
      <x:c r="B58" s="22"/>
      <x:c r="C58" s="22"/>
      <x:c r="D58" s="22"/>
      <x:c r="E58" s="22"/>
      <x:c r="F58" s="22"/>
      <x:c r="G58" s="22"/>
      <x:c r="H58" s="31"/>
      <x:c r="I58" s="31"/>
      <x:c r="J58" s="22"/>
      <x:c r="K58" s="31"/>
      <x:c r="L58" s="22"/>
      <x:c r="M58" s="28" t="str">
        <x:f>IF(COUNTA(A58:L58)=0,"",IF(OR(A58="",B58="",C58="",D58="",G58="",J58=""),"不通过：缺少必填项",IF(COUNTIF($B$5:$B$104,B58)&gt;1,"不通过：编码重复",IF(AND(E58&lt;&gt;"",COUNTIF($B$5:$B$104,E58)=0),"不通过：上级编码不存在","通过"))))</x:f>
      </x:c>
    </x:row>
    <x:row r="59">
      <x:c r="A59" s="22"/>
      <x:c r="B59" s="22"/>
      <x:c r="C59" s="22"/>
      <x:c r="D59" s="22"/>
      <x:c r="E59" s="22"/>
      <x:c r="F59" s="22"/>
      <x:c r="G59" s="22"/>
      <x:c r="H59" s="31"/>
      <x:c r="I59" s="31"/>
      <x:c r="J59" s="22"/>
      <x:c r="K59" s="31"/>
      <x:c r="L59" s="22"/>
      <x:c r="M59" s="28" t="str">
        <x:f>IF(COUNTA(A59:L59)=0,"",IF(OR(A59="",B59="",C59="",D59="",G59="",J59=""),"不通过：缺少必填项",IF(COUNTIF($B$5:$B$104,B59)&gt;1,"不通过：编码重复",IF(AND(E59&lt;&gt;"",COUNTIF($B$5:$B$104,E59)=0),"不通过：上级编码不存在","通过"))))</x:f>
      </x:c>
    </x:row>
    <x:row r="60">
      <x:c r="A60" s="22"/>
      <x:c r="B60" s="22"/>
      <x:c r="C60" s="22"/>
      <x:c r="D60" s="22"/>
      <x:c r="E60" s="22"/>
      <x:c r="F60" s="22"/>
      <x:c r="G60" s="22"/>
      <x:c r="H60" s="31"/>
      <x:c r="I60" s="31"/>
      <x:c r="J60" s="22"/>
      <x:c r="K60" s="31"/>
      <x:c r="L60" s="22"/>
      <x:c r="M60" s="28" t="str">
        <x:f>IF(COUNTA(A60:L60)=0,"",IF(OR(A60="",B60="",C60="",D60="",G60="",J60=""),"不通过：缺少必填项",IF(COUNTIF($B$5:$B$104,B60)&gt;1,"不通过：编码重复",IF(AND(E60&lt;&gt;"",COUNTIF($B$5:$B$104,E60)=0),"不通过：上级编码不存在","通过"))))</x:f>
      </x:c>
    </x:row>
    <x:row r="61">
      <x:c r="A61" s="22"/>
      <x:c r="B61" s="22"/>
      <x:c r="C61" s="22"/>
      <x:c r="D61" s="22"/>
      <x:c r="E61" s="22"/>
      <x:c r="F61" s="22"/>
      <x:c r="G61" s="22"/>
      <x:c r="H61" s="31"/>
      <x:c r="I61" s="31"/>
      <x:c r="J61" s="22"/>
      <x:c r="K61" s="31"/>
      <x:c r="L61" s="22"/>
      <x:c r="M61" s="28" t="str">
        <x:f>IF(COUNTA(A61:L61)=0,"",IF(OR(A61="",B61="",C61="",D61="",G61="",J61=""),"不通过：缺少必填项",IF(COUNTIF($B$5:$B$104,B61)&gt;1,"不通过：编码重复",IF(AND(E61&lt;&gt;"",COUNTIF($B$5:$B$104,E61)=0),"不通过：上级编码不存在","通过"))))</x:f>
      </x:c>
    </x:row>
    <x:row r="62">
      <x:c r="A62" s="22"/>
      <x:c r="B62" s="22"/>
      <x:c r="C62" s="22"/>
      <x:c r="D62" s="22"/>
      <x:c r="E62" s="22"/>
      <x:c r="F62" s="22"/>
      <x:c r="G62" s="22"/>
      <x:c r="H62" s="31"/>
      <x:c r="I62" s="31"/>
      <x:c r="J62" s="22"/>
      <x:c r="K62" s="31"/>
      <x:c r="L62" s="22"/>
      <x:c r="M62" s="28" t="str">
        <x:f>IF(COUNTA(A62:L62)=0,"",IF(OR(A62="",B62="",C62="",D62="",G62="",J62=""),"不通过：缺少必填项",IF(COUNTIF($B$5:$B$104,B62)&gt;1,"不通过：编码重复",IF(AND(E62&lt;&gt;"",COUNTIF($B$5:$B$104,E62)=0),"不通过：上级编码不存在","通过"))))</x:f>
      </x:c>
    </x:row>
    <x:row r="63">
      <x:c r="A63" s="22"/>
      <x:c r="B63" s="22"/>
      <x:c r="C63" s="22"/>
      <x:c r="D63" s="22"/>
      <x:c r="E63" s="22"/>
      <x:c r="F63" s="22"/>
      <x:c r="G63" s="22"/>
      <x:c r="H63" s="31"/>
      <x:c r="I63" s="31"/>
      <x:c r="J63" s="22"/>
      <x:c r="K63" s="31"/>
      <x:c r="L63" s="22"/>
      <x:c r="M63" s="28" t="str">
        <x:f>IF(COUNTA(A63:L63)=0,"",IF(OR(A63="",B63="",C63="",D63="",G63="",J63=""),"不通过：缺少必填项",IF(COUNTIF($B$5:$B$104,B63)&gt;1,"不通过：编码重复",IF(AND(E63&lt;&gt;"",COUNTIF($B$5:$B$104,E63)=0),"不通过：上级编码不存在","通过"))))</x:f>
      </x:c>
    </x:row>
    <x:row r="64">
      <x:c r="A64" s="22"/>
      <x:c r="B64" s="22"/>
      <x:c r="C64" s="22"/>
      <x:c r="D64" s="22"/>
      <x:c r="E64" s="22"/>
      <x:c r="F64" s="22"/>
      <x:c r="G64" s="22"/>
      <x:c r="H64" s="31"/>
      <x:c r="I64" s="31"/>
      <x:c r="J64" s="22"/>
      <x:c r="K64" s="31"/>
      <x:c r="L64" s="22"/>
      <x:c r="M64" s="28" t="str">
        <x:f>IF(COUNTA(A64:L64)=0,"",IF(OR(A64="",B64="",C64="",D64="",G64="",J64=""),"不通过：缺少必填项",IF(COUNTIF($B$5:$B$104,B64)&gt;1,"不通过：编码重复",IF(AND(E64&lt;&gt;"",COUNTIF($B$5:$B$104,E64)=0),"不通过：上级编码不存在","通过"))))</x:f>
      </x:c>
    </x:row>
    <x:row r="65">
      <x:c r="A65" s="22"/>
      <x:c r="B65" s="22"/>
      <x:c r="C65" s="22"/>
      <x:c r="D65" s="22"/>
      <x:c r="E65" s="22"/>
      <x:c r="F65" s="22"/>
      <x:c r="G65" s="22"/>
      <x:c r="H65" s="31"/>
      <x:c r="I65" s="31"/>
      <x:c r="J65" s="22"/>
      <x:c r="K65" s="31"/>
      <x:c r="L65" s="22"/>
      <x:c r="M65" s="28" t="str">
        <x:f>IF(COUNTA(A65:L65)=0,"",IF(OR(A65="",B65="",C65="",D65="",G65="",J65=""),"不通过：缺少必填项",IF(COUNTIF($B$5:$B$104,B65)&gt;1,"不通过：编码重复",IF(AND(E65&lt;&gt;"",COUNTIF($B$5:$B$104,E65)=0),"不通过：上级编码不存在","通过"))))</x:f>
      </x:c>
    </x:row>
    <x:row r="66">
      <x:c r="A66" s="22"/>
      <x:c r="B66" s="22"/>
      <x:c r="C66" s="22"/>
      <x:c r="D66" s="22"/>
      <x:c r="E66" s="22"/>
      <x:c r="F66" s="22"/>
      <x:c r="G66" s="22"/>
      <x:c r="H66" s="31"/>
      <x:c r="I66" s="31"/>
      <x:c r="J66" s="22"/>
      <x:c r="K66" s="31"/>
      <x:c r="L66" s="22"/>
      <x:c r="M66" s="28" t="str">
        <x:f>IF(COUNTA(A66:L66)=0,"",IF(OR(A66="",B66="",C66="",D66="",G66="",J66=""),"不通过：缺少必填项",IF(COUNTIF($B$5:$B$104,B66)&gt;1,"不通过：编码重复",IF(AND(E66&lt;&gt;"",COUNTIF($B$5:$B$104,E66)=0),"不通过：上级编码不存在","通过"))))</x:f>
      </x:c>
    </x:row>
    <x:row r="67">
      <x:c r="A67" s="22"/>
      <x:c r="B67" s="22"/>
      <x:c r="C67" s="22"/>
      <x:c r="D67" s="22"/>
      <x:c r="E67" s="22"/>
      <x:c r="F67" s="22"/>
      <x:c r="G67" s="22"/>
      <x:c r="H67" s="31"/>
      <x:c r="I67" s="31"/>
      <x:c r="J67" s="22"/>
      <x:c r="K67" s="31"/>
      <x:c r="L67" s="22"/>
      <x:c r="M67" s="28" t="str">
        <x:f>IF(COUNTA(A67:L67)=0,"",IF(OR(A67="",B67="",C67="",D67="",G67="",J67=""),"不通过：缺少必填项",IF(COUNTIF($B$5:$B$104,B67)&gt;1,"不通过：编码重复",IF(AND(E67&lt;&gt;"",COUNTIF($B$5:$B$104,E67)=0),"不通过：上级编码不存在","通过"))))</x:f>
      </x:c>
    </x:row>
    <x:row r="68">
      <x:c r="A68" s="22"/>
      <x:c r="B68" s="22"/>
      <x:c r="C68" s="22"/>
      <x:c r="D68" s="22"/>
      <x:c r="E68" s="22"/>
      <x:c r="F68" s="22"/>
      <x:c r="G68" s="22"/>
      <x:c r="H68" s="31"/>
      <x:c r="I68" s="31"/>
      <x:c r="J68" s="22"/>
      <x:c r="K68" s="31"/>
      <x:c r="L68" s="22"/>
      <x:c r="M68" s="28" t="str">
        <x:f>IF(COUNTA(A68:L68)=0,"",IF(OR(A68="",B68="",C68="",D68="",G68="",J68=""),"不通过：缺少必填项",IF(COUNTIF($B$5:$B$104,B68)&gt;1,"不通过：编码重复",IF(AND(E68&lt;&gt;"",COUNTIF($B$5:$B$104,E68)=0),"不通过：上级编码不存在","通过"))))</x:f>
      </x:c>
    </x:row>
    <x:row r="69">
      <x:c r="A69" s="22"/>
      <x:c r="B69" s="22"/>
      <x:c r="C69" s="22"/>
      <x:c r="D69" s="22"/>
      <x:c r="E69" s="22"/>
      <x:c r="F69" s="22"/>
      <x:c r="G69" s="22"/>
      <x:c r="H69" s="31"/>
      <x:c r="I69" s="31"/>
      <x:c r="J69" s="22"/>
      <x:c r="K69" s="31"/>
      <x:c r="L69" s="22"/>
      <x:c r="M69" s="28" t="str">
        <x:f>IF(COUNTA(A69:L69)=0,"",IF(OR(A69="",B69="",C69="",D69="",G69="",J69=""),"不通过：缺少必填项",IF(COUNTIF($B$5:$B$104,B69)&gt;1,"不通过：编码重复",IF(AND(E69&lt;&gt;"",COUNTIF($B$5:$B$104,E69)=0),"不通过：上级编码不存在","通过"))))</x:f>
      </x:c>
    </x:row>
    <x:row r="70">
      <x:c r="A70" s="22"/>
      <x:c r="B70" s="22"/>
      <x:c r="C70" s="22"/>
      <x:c r="D70" s="22"/>
      <x:c r="E70" s="22"/>
      <x:c r="F70" s="22"/>
      <x:c r="G70" s="22"/>
      <x:c r="H70" s="31"/>
      <x:c r="I70" s="31"/>
      <x:c r="J70" s="22"/>
      <x:c r="K70" s="31"/>
      <x:c r="L70" s="22"/>
      <x:c r="M70" s="28" t="str">
        <x:f>IF(COUNTA(A70:L70)=0,"",IF(OR(A70="",B70="",C70="",D70="",G70="",J70=""),"不通过：缺少必填项",IF(COUNTIF($B$5:$B$104,B70)&gt;1,"不通过：编码重复",IF(AND(E70&lt;&gt;"",COUNTIF($B$5:$B$104,E70)=0),"不通过：上级编码不存在","通过"))))</x:f>
      </x:c>
    </x:row>
    <x:row r="71">
      <x:c r="A71" s="22"/>
      <x:c r="B71" s="22"/>
      <x:c r="C71" s="22"/>
      <x:c r="D71" s="22"/>
      <x:c r="E71" s="22"/>
      <x:c r="F71" s="22"/>
      <x:c r="G71" s="22"/>
      <x:c r="H71" s="31"/>
      <x:c r="I71" s="31"/>
      <x:c r="J71" s="22"/>
      <x:c r="K71" s="31"/>
      <x:c r="L71" s="22"/>
      <x:c r="M71" s="28" t="str">
        <x:f>IF(COUNTA(A71:L71)=0,"",IF(OR(A71="",B71="",C71="",D71="",G71="",J71=""),"不通过：缺少必填项",IF(COUNTIF($B$5:$B$104,B71)&gt;1,"不通过：编码重复",IF(AND(E71&lt;&gt;"",COUNTIF($B$5:$B$104,E71)=0),"不通过：上级编码不存在","通过"))))</x:f>
      </x:c>
    </x:row>
    <x:row r="72">
      <x:c r="A72" s="22"/>
      <x:c r="B72" s="22"/>
      <x:c r="C72" s="22"/>
      <x:c r="D72" s="22"/>
      <x:c r="E72" s="22"/>
      <x:c r="F72" s="22"/>
      <x:c r="G72" s="22"/>
      <x:c r="H72" s="31"/>
      <x:c r="I72" s="31"/>
      <x:c r="J72" s="22"/>
      <x:c r="K72" s="31"/>
      <x:c r="L72" s="22"/>
      <x:c r="M72" s="28" t="str">
        <x:f>IF(COUNTA(A72:L72)=0,"",IF(OR(A72="",B72="",C72="",D72="",G72="",J72=""),"不通过：缺少必填项",IF(COUNTIF($B$5:$B$104,B72)&gt;1,"不通过：编码重复",IF(AND(E72&lt;&gt;"",COUNTIF($B$5:$B$104,E72)=0),"不通过：上级编码不存在","通过"))))</x:f>
      </x:c>
    </x:row>
    <x:row r="73">
      <x:c r="A73" s="22"/>
      <x:c r="B73" s="22"/>
      <x:c r="C73" s="22"/>
      <x:c r="D73" s="22"/>
      <x:c r="E73" s="22"/>
      <x:c r="F73" s="22"/>
      <x:c r="G73" s="22"/>
      <x:c r="H73" s="31"/>
      <x:c r="I73" s="31"/>
      <x:c r="J73" s="22"/>
      <x:c r="K73" s="31"/>
      <x:c r="L73" s="22"/>
      <x:c r="M73" s="28" t="str">
        <x:f>IF(COUNTA(A73:L73)=0,"",IF(OR(A73="",B73="",C73="",D73="",G73="",J73=""),"不通过：缺少必填项",IF(COUNTIF($B$5:$B$104,B73)&gt;1,"不通过：编码重复",IF(AND(E73&lt;&gt;"",COUNTIF($B$5:$B$104,E73)=0),"不通过：上级编码不存在","通过"))))</x:f>
      </x:c>
    </x:row>
    <x:row r="74">
      <x:c r="A74" s="22"/>
      <x:c r="B74" s="22"/>
      <x:c r="C74" s="22"/>
      <x:c r="D74" s="22"/>
      <x:c r="E74" s="22"/>
      <x:c r="F74" s="22"/>
      <x:c r="G74" s="22"/>
      <x:c r="H74" s="31"/>
      <x:c r="I74" s="31"/>
      <x:c r="J74" s="22"/>
      <x:c r="K74" s="31"/>
      <x:c r="L74" s="22"/>
      <x:c r="M74" s="28" t="str">
        <x:f>IF(COUNTA(A74:L74)=0,"",IF(OR(A74="",B74="",C74="",D74="",G74="",J74=""),"不通过：缺少必填项",IF(COUNTIF($B$5:$B$104,B74)&gt;1,"不通过：编码重复",IF(AND(E74&lt;&gt;"",COUNTIF($B$5:$B$104,E74)=0),"不通过：上级编码不存在","通过"))))</x:f>
      </x:c>
    </x:row>
    <x:row r="75">
      <x:c r="A75" s="22"/>
      <x:c r="B75" s="22"/>
      <x:c r="C75" s="22"/>
      <x:c r="D75" s="22"/>
      <x:c r="E75" s="22"/>
      <x:c r="F75" s="22"/>
      <x:c r="G75" s="22"/>
      <x:c r="H75" s="31"/>
      <x:c r="I75" s="31"/>
      <x:c r="J75" s="22"/>
      <x:c r="K75" s="31"/>
      <x:c r="L75" s="22"/>
      <x:c r="M75" s="28" t="str">
        <x:f>IF(COUNTA(A75:L75)=0,"",IF(OR(A75="",B75="",C75="",D75="",G75="",J75=""),"不通过：缺少必填项",IF(COUNTIF($B$5:$B$104,B75)&gt;1,"不通过：编码重复",IF(AND(E75&lt;&gt;"",COUNTIF($B$5:$B$104,E75)=0),"不通过：上级编码不存在","通过"))))</x:f>
      </x:c>
    </x:row>
    <x:row r="76">
      <x:c r="A76" s="22"/>
      <x:c r="B76" s="22"/>
      <x:c r="C76" s="22"/>
      <x:c r="D76" s="22"/>
      <x:c r="E76" s="22"/>
      <x:c r="F76" s="22"/>
      <x:c r="G76" s="22"/>
      <x:c r="H76" s="31"/>
      <x:c r="I76" s="31"/>
      <x:c r="J76" s="22"/>
      <x:c r="K76" s="31"/>
      <x:c r="L76" s="22"/>
      <x:c r="M76" s="28" t="str">
        <x:f>IF(COUNTA(A76:L76)=0,"",IF(OR(A76="",B76="",C76="",D76="",G76="",J76=""),"不通过：缺少必填项",IF(COUNTIF($B$5:$B$104,B76)&gt;1,"不通过：编码重复",IF(AND(E76&lt;&gt;"",COUNTIF($B$5:$B$104,E76)=0),"不通过：上级编码不存在","通过"))))</x:f>
      </x:c>
    </x:row>
    <x:row r="77">
      <x:c r="A77" s="22"/>
      <x:c r="B77" s="22"/>
      <x:c r="C77" s="22"/>
      <x:c r="D77" s="22"/>
      <x:c r="E77" s="22"/>
      <x:c r="F77" s="22"/>
      <x:c r="G77" s="22"/>
      <x:c r="H77" s="31"/>
      <x:c r="I77" s="31"/>
      <x:c r="J77" s="22"/>
      <x:c r="K77" s="31"/>
      <x:c r="L77" s="22"/>
      <x:c r="M77" s="28" t="str">
        <x:f>IF(COUNTA(A77:L77)=0,"",IF(OR(A77="",B77="",C77="",D77="",G77="",J77=""),"不通过：缺少必填项",IF(COUNTIF($B$5:$B$104,B77)&gt;1,"不通过：编码重复",IF(AND(E77&lt;&gt;"",COUNTIF($B$5:$B$104,E77)=0),"不通过：上级编码不存在","通过"))))</x:f>
      </x:c>
    </x:row>
    <x:row r="78">
      <x:c r="A78" s="22"/>
      <x:c r="B78" s="22"/>
      <x:c r="C78" s="22"/>
      <x:c r="D78" s="22"/>
      <x:c r="E78" s="22"/>
      <x:c r="F78" s="22"/>
      <x:c r="G78" s="22"/>
      <x:c r="H78" s="31"/>
      <x:c r="I78" s="31"/>
      <x:c r="J78" s="22"/>
      <x:c r="K78" s="31"/>
      <x:c r="L78" s="22"/>
      <x:c r="M78" s="28" t="str">
        <x:f>IF(COUNTA(A78:L78)=0,"",IF(OR(A78="",B78="",C78="",D78="",G78="",J78=""),"不通过：缺少必填项",IF(COUNTIF($B$5:$B$104,B78)&gt;1,"不通过：编码重复",IF(AND(E78&lt;&gt;"",COUNTIF($B$5:$B$104,E78)=0),"不通过：上级编码不存在","通过"))))</x:f>
      </x:c>
    </x:row>
    <x:row r="79">
      <x:c r="A79" s="22"/>
      <x:c r="B79" s="22"/>
      <x:c r="C79" s="22"/>
      <x:c r="D79" s="22"/>
      <x:c r="E79" s="22"/>
      <x:c r="F79" s="22"/>
      <x:c r="G79" s="22"/>
      <x:c r="H79" s="31"/>
      <x:c r="I79" s="31"/>
      <x:c r="J79" s="22"/>
      <x:c r="K79" s="31"/>
      <x:c r="L79" s="22"/>
      <x:c r="M79" s="28" t="str">
        <x:f>IF(COUNTA(A79:L79)=0,"",IF(OR(A79="",B79="",C79="",D79="",G79="",J79=""),"不通过：缺少必填项",IF(COUNTIF($B$5:$B$104,B79)&gt;1,"不通过：编码重复",IF(AND(E79&lt;&gt;"",COUNTIF($B$5:$B$104,E79)=0),"不通过：上级编码不存在","通过"))))</x:f>
      </x:c>
    </x:row>
    <x:row r="80">
      <x:c r="A80" s="22"/>
      <x:c r="B80" s="22"/>
      <x:c r="C80" s="22"/>
      <x:c r="D80" s="22"/>
      <x:c r="E80" s="22"/>
      <x:c r="F80" s="22"/>
      <x:c r="G80" s="22"/>
      <x:c r="H80" s="31"/>
      <x:c r="I80" s="31"/>
      <x:c r="J80" s="22"/>
      <x:c r="K80" s="31"/>
      <x:c r="L80" s="22"/>
      <x:c r="M80" s="28" t="str">
        <x:f>IF(COUNTA(A80:L80)=0,"",IF(OR(A80="",B80="",C80="",D80="",G80="",J80=""),"不通过：缺少必填项",IF(COUNTIF($B$5:$B$104,B80)&gt;1,"不通过：编码重复",IF(AND(E80&lt;&gt;"",COUNTIF($B$5:$B$104,E80)=0),"不通过：上级编码不存在","通过"))))</x:f>
      </x:c>
    </x:row>
    <x:row r="81">
      <x:c r="A81" s="22"/>
      <x:c r="B81" s="22"/>
      <x:c r="C81" s="22"/>
      <x:c r="D81" s="22"/>
      <x:c r="E81" s="22"/>
      <x:c r="F81" s="22"/>
      <x:c r="G81" s="22"/>
      <x:c r="H81" s="31"/>
      <x:c r="I81" s="31"/>
      <x:c r="J81" s="22"/>
      <x:c r="K81" s="31"/>
      <x:c r="L81" s="22"/>
      <x:c r="M81" s="28" t="str">
        <x:f>IF(COUNTA(A81:L81)=0,"",IF(OR(A81="",B81="",C81="",D81="",G81="",J81=""),"不通过：缺少必填项",IF(COUNTIF($B$5:$B$104,B81)&gt;1,"不通过：编码重复",IF(AND(E81&lt;&gt;"",COUNTIF($B$5:$B$104,E81)=0),"不通过：上级编码不存在","通过"))))</x:f>
      </x:c>
    </x:row>
    <x:row r="82">
      <x:c r="A82" s="22"/>
      <x:c r="B82" s="22"/>
      <x:c r="C82" s="22"/>
      <x:c r="D82" s="22"/>
      <x:c r="E82" s="22"/>
      <x:c r="F82" s="22"/>
      <x:c r="G82" s="22"/>
      <x:c r="H82" s="31"/>
      <x:c r="I82" s="31"/>
      <x:c r="J82" s="22"/>
      <x:c r="K82" s="31"/>
      <x:c r="L82" s="22"/>
      <x:c r="M82" s="28" t="str">
        <x:f>IF(COUNTA(A82:L82)=0,"",IF(OR(A82="",B82="",C82="",D82="",G82="",J82=""),"不通过：缺少必填项",IF(COUNTIF($B$5:$B$104,B82)&gt;1,"不通过：编码重复",IF(AND(E82&lt;&gt;"",COUNTIF($B$5:$B$104,E82)=0),"不通过：上级编码不存在","通过"))))</x:f>
      </x:c>
    </x:row>
    <x:row r="83">
      <x:c r="A83" s="22"/>
      <x:c r="B83" s="22"/>
      <x:c r="C83" s="22"/>
      <x:c r="D83" s="22"/>
      <x:c r="E83" s="22"/>
      <x:c r="F83" s="22"/>
      <x:c r="G83" s="22"/>
      <x:c r="H83" s="31"/>
      <x:c r="I83" s="31"/>
      <x:c r="J83" s="22"/>
      <x:c r="K83" s="31"/>
      <x:c r="L83" s="22"/>
      <x:c r="M83" s="28" t="str">
        <x:f>IF(COUNTA(A83:L83)=0,"",IF(OR(A83="",B83="",C83="",D83="",G83="",J83=""),"不通过：缺少必填项",IF(COUNTIF($B$5:$B$104,B83)&gt;1,"不通过：编码重复",IF(AND(E83&lt;&gt;"",COUNTIF($B$5:$B$104,E83)=0),"不通过：上级编码不存在","通过"))))</x:f>
      </x:c>
    </x:row>
    <x:row r="84">
      <x:c r="A84" s="22"/>
      <x:c r="B84" s="22"/>
      <x:c r="C84" s="22"/>
      <x:c r="D84" s="22"/>
      <x:c r="E84" s="22"/>
      <x:c r="F84" s="22"/>
      <x:c r="G84" s="22"/>
      <x:c r="H84" s="31"/>
      <x:c r="I84" s="31"/>
      <x:c r="J84" s="22"/>
      <x:c r="K84" s="31"/>
      <x:c r="L84" s="22"/>
      <x:c r="M84" s="28" t="str">
        <x:f>IF(COUNTA(A84:L84)=0,"",IF(OR(A84="",B84="",C84="",D84="",G84="",J84=""),"不通过：缺少必填项",IF(COUNTIF($B$5:$B$104,B84)&gt;1,"不通过：编码重复",IF(AND(E84&lt;&gt;"",COUNTIF($B$5:$B$104,E84)=0),"不通过：上级编码不存在","通过"))))</x:f>
      </x:c>
    </x:row>
    <x:row r="85">
      <x:c r="A85" s="22"/>
      <x:c r="B85" s="22"/>
      <x:c r="C85" s="22"/>
      <x:c r="D85" s="22"/>
      <x:c r="E85" s="22"/>
      <x:c r="F85" s="22"/>
      <x:c r="G85" s="22"/>
      <x:c r="H85" s="31"/>
      <x:c r="I85" s="31"/>
      <x:c r="J85" s="22"/>
      <x:c r="K85" s="31"/>
      <x:c r="L85" s="22"/>
      <x:c r="M85" s="28" t="str">
        <x:f>IF(COUNTA(A85:L85)=0,"",IF(OR(A85="",B85="",C85="",D85="",G85="",J85=""),"不通过：缺少必填项",IF(COUNTIF($B$5:$B$104,B85)&gt;1,"不通过：编码重复",IF(AND(E85&lt;&gt;"",COUNTIF($B$5:$B$104,E85)=0),"不通过：上级编码不存在","通过"))))</x:f>
      </x:c>
    </x:row>
    <x:row r="86">
      <x:c r="A86" s="22"/>
      <x:c r="B86" s="22"/>
      <x:c r="C86" s="22"/>
      <x:c r="D86" s="22"/>
      <x:c r="E86" s="22"/>
      <x:c r="F86" s="22"/>
      <x:c r="G86" s="22"/>
      <x:c r="H86" s="31"/>
      <x:c r="I86" s="31"/>
      <x:c r="J86" s="22"/>
      <x:c r="K86" s="31"/>
      <x:c r="L86" s="22"/>
      <x:c r="M86" s="28" t="str">
        <x:f>IF(COUNTA(A86:L86)=0,"",IF(OR(A86="",B86="",C86="",D86="",G86="",J86=""),"不通过：缺少必填项",IF(COUNTIF($B$5:$B$104,B86)&gt;1,"不通过：编码重复",IF(AND(E86&lt;&gt;"",COUNTIF($B$5:$B$104,E86)=0),"不通过：上级编码不存在","通过"))))</x:f>
      </x:c>
    </x:row>
    <x:row r="87">
      <x:c r="A87" s="22"/>
      <x:c r="B87" s="22"/>
      <x:c r="C87" s="22"/>
      <x:c r="D87" s="22"/>
      <x:c r="E87" s="22"/>
      <x:c r="F87" s="22"/>
      <x:c r="G87" s="22"/>
      <x:c r="H87" s="31"/>
      <x:c r="I87" s="31"/>
      <x:c r="J87" s="22"/>
      <x:c r="K87" s="31"/>
      <x:c r="L87" s="22"/>
      <x:c r="M87" s="28" t="str">
        <x:f>IF(COUNTA(A87:L87)=0,"",IF(OR(A87="",B87="",C87="",D87="",G87="",J87=""),"不通过：缺少必填项",IF(COUNTIF($B$5:$B$104,B87)&gt;1,"不通过：编码重复",IF(AND(E87&lt;&gt;"",COUNTIF($B$5:$B$104,E87)=0),"不通过：上级编码不存在","通过"))))</x:f>
      </x:c>
    </x:row>
    <x:row r="88">
      <x:c r="A88" s="22"/>
      <x:c r="B88" s="22"/>
      <x:c r="C88" s="22"/>
      <x:c r="D88" s="22"/>
      <x:c r="E88" s="22"/>
      <x:c r="F88" s="22"/>
      <x:c r="G88" s="22"/>
      <x:c r="H88" s="31"/>
      <x:c r="I88" s="31"/>
      <x:c r="J88" s="22"/>
      <x:c r="K88" s="31"/>
      <x:c r="L88" s="22"/>
      <x:c r="M88" s="28" t="str">
        <x:f>IF(COUNTA(A88:L88)=0,"",IF(OR(A88="",B88="",C88="",D88="",G88="",J88=""),"不通过：缺少必填项",IF(COUNTIF($B$5:$B$104,B88)&gt;1,"不通过：编码重复",IF(AND(E88&lt;&gt;"",COUNTIF($B$5:$B$104,E88)=0),"不通过：上级编码不存在","通过"))))</x:f>
      </x:c>
    </x:row>
    <x:row r="89">
      <x:c r="A89" s="22"/>
      <x:c r="B89" s="22"/>
      <x:c r="C89" s="22"/>
      <x:c r="D89" s="22"/>
      <x:c r="E89" s="22"/>
      <x:c r="F89" s="22"/>
      <x:c r="G89" s="22"/>
      <x:c r="H89" s="31"/>
      <x:c r="I89" s="31"/>
      <x:c r="J89" s="22"/>
      <x:c r="K89" s="31"/>
      <x:c r="L89" s="22"/>
      <x:c r="M89" s="28" t="str">
        <x:f>IF(COUNTA(A89:L89)=0,"",IF(OR(A89="",B89="",C89="",D89="",G89="",J89=""),"不通过：缺少必填项",IF(COUNTIF($B$5:$B$104,B89)&gt;1,"不通过：编码重复",IF(AND(E89&lt;&gt;"",COUNTIF($B$5:$B$104,E89)=0),"不通过：上级编码不存在","通过"))))</x:f>
      </x:c>
    </x:row>
    <x:row r="90">
      <x:c r="A90" s="22"/>
      <x:c r="B90" s="22"/>
      <x:c r="C90" s="22"/>
      <x:c r="D90" s="22"/>
      <x:c r="E90" s="22"/>
      <x:c r="F90" s="22"/>
      <x:c r="G90" s="22"/>
      <x:c r="H90" s="31"/>
      <x:c r="I90" s="31"/>
      <x:c r="J90" s="22"/>
      <x:c r="K90" s="31"/>
      <x:c r="L90" s="22"/>
      <x:c r="M90" s="28" t="str">
        <x:f>IF(COUNTA(A90:L90)=0,"",IF(OR(A90="",B90="",C90="",D90="",G90="",J90=""),"不通过：缺少必填项",IF(COUNTIF($B$5:$B$104,B90)&gt;1,"不通过：编码重复",IF(AND(E90&lt;&gt;"",COUNTIF($B$5:$B$104,E90)=0),"不通过：上级编码不存在","通过"))))</x:f>
      </x:c>
    </x:row>
    <x:row r="91">
      <x:c r="A91" s="22"/>
      <x:c r="B91" s="22"/>
      <x:c r="C91" s="22"/>
      <x:c r="D91" s="22"/>
      <x:c r="E91" s="22"/>
      <x:c r="F91" s="22"/>
      <x:c r="G91" s="22"/>
      <x:c r="H91" s="31"/>
      <x:c r="I91" s="31"/>
      <x:c r="J91" s="22"/>
      <x:c r="K91" s="31"/>
      <x:c r="L91" s="22"/>
      <x:c r="M91" s="28" t="str">
        <x:f>IF(COUNTA(A91:L91)=0,"",IF(OR(A91="",B91="",C91="",D91="",G91="",J91=""),"不通过：缺少必填项",IF(COUNTIF($B$5:$B$104,B91)&gt;1,"不通过：编码重复",IF(AND(E91&lt;&gt;"",COUNTIF($B$5:$B$104,E91)=0),"不通过：上级编码不存在","通过"))))</x:f>
      </x:c>
    </x:row>
    <x:row r="92">
      <x:c r="A92" s="22"/>
      <x:c r="B92" s="22"/>
      <x:c r="C92" s="22"/>
      <x:c r="D92" s="22"/>
      <x:c r="E92" s="22"/>
      <x:c r="F92" s="22"/>
      <x:c r="G92" s="22"/>
      <x:c r="H92" s="31"/>
      <x:c r="I92" s="31"/>
      <x:c r="J92" s="22"/>
      <x:c r="K92" s="31"/>
      <x:c r="L92" s="22"/>
      <x:c r="M92" s="28" t="str">
        <x:f>IF(COUNTA(A92:L92)=0,"",IF(OR(A92="",B92="",C92="",D92="",G92="",J92=""),"不通过：缺少必填项",IF(COUNTIF($B$5:$B$104,B92)&gt;1,"不通过：编码重复",IF(AND(E92&lt;&gt;"",COUNTIF($B$5:$B$104,E92)=0),"不通过：上级编码不存在","通过"))))</x:f>
      </x:c>
    </x:row>
    <x:row r="93">
      <x:c r="A93" s="22"/>
      <x:c r="B93" s="22"/>
      <x:c r="C93" s="22"/>
      <x:c r="D93" s="22"/>
      <x:c r="E93" s="22"/>
      <x:c r="F93" s="22"/>
      <x:c r="G93" s="22"/>
      <x:c r="H93" s="31"/>
      <x:c r="I93" s="31"/>
      <x:c r="J93" s="22"/>
      <x:c r="K93" s="31"/>
      <x:c r="L93" s="22"/>
      <x:c r="M93" s="28" t="str">
        <x:f>IF(COUNTA(A93:L93)=0,"",IF(OR(A93="",B93="",C93="",D93="",G93="",J93=""),"不通过：缺少必填项",IF(COUNTIF($B$5:$B$104,B93)&gt;1,"不通过：编码重复",IF(AND(E93&lt;&gt;"",COUNTIF($B$5:$B$104,E93)=0),"不通过：上级编码不存在","通过"))))</x:f>
      </x:c>
    </x:row>
    <x:row r="94">
      <x:c r="A94" s="22"/>
      <x:c r="B94" s="22"/>
      <x:c r="C94" s="22"/>
      <x:c r="D94" s="22"/>
      <x:c r="E94" s="22"/>
      <x:c r="F94" s="22"/>
      <x:c r="G94" s="22"/>
      <x:c r="H94" s="31"/>
      <x:c r="I94" s="31"/>
      <x:c r="J94" s="22"/>
      <x:c r="K94" s="31"/>
      <x:c r="L94" s="22"/>
      <x:c r="M94" s="28" t="str">
        <x:f>IF(COUNTA(A94:L94)=0,"",IF(OR(A94="",B94="",C94="",D94="",G94="",J94=""),"不通过：缺少必填项",IF(COUNTIF($B$5:$B$104,B94)&gt;1,"不通过：编码重复",IF(AND(E94&lt;&gt;"",COUNTIF($B$5:$B$104,E94)=0),"不通过：上级编码不存在","通过"))))</x:f>
      </x:c>
    </x:row>
    <x:row r="95">
      <x:c r="A95" s="22"/>
      <x:c r="B95" s="22"/>
      <x:c r="C95" s="22"/>
      <x:c r="D95" s="22"/>
      <x:c r="E95" s="22"/>
      <x:c r="F95" s="22"/>
      <x:c r="G95" s="22"/>
      <x:c r="H95" s="31"/>
      <x:c r="I95" s="31"/>
      <x:c r="J95" s="22"/>
      <x:c r="K95" s="31"/>
      <x:c r="L95" s="22"/>
      <x:c r="M95" s="28" t="str">
        <x:f>IF(COUNTA(A95:L95)=0,"",IF(OR(A95="",B95="",C95="",D95="",G95="",J95=""),"不通过：缺少必填项",IF(COUNTIF($B$5:$B$104,B95)&gt;1,"不通过：编码重复",IF(AND(E95&lt;&gt;"",COUNTIF($B$5:$B$104,E95)=0),"不通过：上级编码不存在","通过"))))</x:f>
      </x:c>
    </x:row>
    <x:row r="96">
      <x:c r="A96" s="22"/>
      <x:c r="B96" s="22"/>
      <x:c r="C96" s="22"/>
      <x:c r="D96" s="22"/>
      <x:c r="E96" s="22"/>
      <x:c r="F96" s="22"/>
      <x:c r="G96" s="22"/>
      <x:c r="H96" s="31"/>
      <x:c r="I96" s="31"/>
      <x:c r="J96" s="22"/>
      <x:c r="K96" s="31"/>
      <x:c r="L96" s="22"/>
      <x:c r="M96" s="28" t="str">
        <x:f>IF(COUNTA(A96:L96)=0,"",IF(OR(A96="",B96="",C96="",D96="",G96="",J96=""),"不通过：缺少必填项",IF(COUNTIF($B$5:$B$104,B96)&gt;1,"不通过：编码重复",IF(AND(E96&lt;&gt;"",COUNTIF($B$5:$B$104,E96)=0),"不通过：上级编码不存在","通过"))))</x:f>
      </x:c>
    </x:row>
    <x:row r="97">
      <x:c r="A97" s="22"/>
      <x:c r="B97" s="22"/>
      <x:c r="C97" s="22"/>
      <x:c r="D97" s="22"/>
      <x:c r="E97" s="22"/>
      <x:c r="F97" s="22"/>
      <x:c r="G97" s="22"/>
      <x:c r="H97" s="31"/>
      <x:c r="I97" s="31"/>
      <x:c r="J97" s="22"/>
      <x:c r="K97" s="31"/>
      <x:c r="L97" s="22"/>
      <x:c r="M97" s="28" t="str">
        <x:f>IF(COUNTA(A97:L97)=0,"",IF(OR(A97="",B97="",C97="",D97="",G97="",J97=""),"不通过：缺少必填项",IF(COUNTIF($B$5:$B$104,B97)&gt;1,"不通过：编码重复",IF(AND(E97&lt;&gt;"",COUNTIF($B$5:$B$104,E97)=0),"不通过：上级编码不存在","通过"))))</x:f>
      </x:c>
    </x:row>
    <x:row r="98">
      <x:c r="A98" s="22"/>
      <x:c r="B98" s="22"/>
      <x:c r="C98" s="22"/>
      <x:c r="D98" s="22"/>
      <x:c r="E98" s="22"/>
      <x:c r="F98" s="22"/>
      <x:c r="G98" s="22"/>
      <x:c r="H98" s="31"/>
      <x:c r="I98" s="31"/>
      <x:c r="J98" s="22"/>
      <x:c r="K98" s="31"/>
      <x:c r="L98" s="22"/>
      <x:c r="M98" s="28" t="str">
        <x:f>IF(COUNTA(A98:L98)=0,"",IF(OR(A98="",B98="",C98="",D98="",G98="",J98=""),"不通过：缺少必填项",IF(COUNTIF($B$5:$B$104,B98)&gt;1,"不通过：编码重复",IF(AND(E98&lt;&gt;"",COUNTIF($B$5:$B$104,E98)=0),"不通过：上级编码不存在","通过"))))</x:f>
      </x:c>
    </x:row>
    <x:row r="99">
      <x:c r="A99" s="22"/>
      <x:c r="B99" s="22"/>
      <x:c r="C99" s="22"/>
      <x:c r="D99" s="22"/>
      <x:c r="E99" s="22"/>
      <x:c r="F99" s="22"/>
      <x:c r="G99" s="22"/>
      <x:c r="H99" s="31"/>
      <x:c r="I99" s="31"/>
      <x:c r="J99" s="22"/>
      <x:c r="K99" s="31"/>
      <x:c r="L99" s="22"/>
      <x:c r="M99" s="28" t="str">
        <x:f>IF(COUNTA(A99:L99)=0,"",IF(OR(A99="",B99="",C99="",D99="",G99="",J99=""),"不通过：缺少必填项",IF(COUNTIF($B$5:$B$104,B99)&gt;1,"不通过：编码重复",IF(AND(E99&lt;&gt;"",COUNTIF($B$5:$B$104,E99)=0),"不通过：上级编码不存在","通过"))))</x:f>
      </x:c>
    </x:row>
    <x:row r="100">
      <x:c r="A100" s="22"/>
      <x:c r="B100" s="22"/>
      <x:c r="C100" s="22"/>
      <x:c r="D100" s="22"/>
      <x:c r="E100" s="22"/>
      <x:c r="F100" s="22"/>
      <x:c r="G100" s="22"/>
      <x:c r="H100" s="31"/>
      <x:c r="I100" s="31"/>
      <x:c r="J100" s="22"/>
      <x:c r="K100" s="31"/>
      <x:c r="L100" s="22"/>
      <x:c r="M100" s="28" t="str">
        <x:f>IF(COUNTA(A100:L100)=0,"",IF(OR(A100="",B100="",C100="",D100="",G100="",J100=""),"不通过：缺少必填项",IF(COUNTIF($B$5:$B$104,B100)&gt;1,"不通过：编码重复",IF(AND(E100&lt;&gt;"",COUNTIF($B$5:$B$104,E100)=0),"不通过：上级编码不存在","通过"))))</x:f>
      </x:c>
    </x:row>
    <x:row r="101">
      <x:c r="A101" s="22"/>
      <x:c r="B101" s="22"/>
      <x:c r="C101" s="22"/>
      <x:c r="D101" s="22"/>
      <x:c r="E101" s="22"/>
      <x:c r="F101" s="22"/>
      <x:c r="G101" s="22"/>
      <x:c r="H101" s="31"/>
      <x:c r="I101" s="31"/>
      <x:c r="J101" s="22"/>
      <x:c r="K101" s="31"/>
      <x:c r="L101" s="22"/>
      <x:c r="M101" s="28" t="str">
        <x:f>IF(COUNTA(A101:L101)=0,"",IF(OR(A101="",B101="",C101="",D101="",G101="",J101=""),"不通过：缺少必填项",IF(COUNTIF($B$5:$B$104,B101)&gt;1,"不通过：编码重复",IF(AND(E101&lt;&gt;"",COUNTIF($B$5:$B$104,E101)=0),"不通过：上级编码不存在","通过"))))</x:f>
      </x:c>
    </x:row>
    <x:row r="102">
      <x:c r="A102" s="22"/>
      <x:c r="B102" s="22"/>
      <x:c r="C102" s="22"/>
      <x:c r="D102" s="22"/>
      <x:c r="E102" s="22"/>
      <x:c r="F102" s="22"/>
      <x:c r="G102" s="22"/>
      <x:c r="H102" s="31"/>
      <x:c r="I102" s="31"/>
      <x:c r="J102" s="22"/>
      <x:c r="K102" s="31"/>
      <x:c r="L102" s="22"/>
      <x:c r="M102" s="28" t="str">
        <x:f>IF(COUNTA(A102:L102)=0,"",IF(OR(A102="",B102="",C102="",D102="",G102="",J102=""),"不通过：缺少必填项",IF(COUNTIF($B$5:$B$104,B102)&gt;1,"不通过：编码重复",IF(AND(E102&lt;&gt;"",COUNTIF($B$5:$B$104,E102)=0),"不通过：上级编码不存在","通过"))))</x:f>
      </x:c>
    </x:row>
    <x:row r="103">
      <x:c r="A103" s="22"/>
      <x:c r="B103" s="22"/>
      <x:c r="C103" s="22"/>
      <x:c r="D103" s="22"/>
      <x:c r="E103" s="22"/>
      <x:c r="F103" s="22"/>
      <x:c r="G103" s="22"/>
      <x:c r="H103" s="31"/>
      <x:c r="I103" s="31"/>
      <x:c r="J103" s="22"/>
      <x:c r="K103" s="31"/>
      <x:c r="L103" s="22"/>
      <x:c r="M103" s="28" t="str">
        <x:f>IF(COUNTA(A103:L103)=0,"",IF(OR(A103="",B103="",C103="",D103="",G103="",J103=""),"不通过：缺少必填项",IF(COUNTIF($B$5:$B$104,B103)&gt;1,"不通过：编码重复",IF(AND(E103&lt;&gt;"",COUNTIF($B$5:$B$104,E103)=0),"不通过：上级编码不存在","通过"))))</x:f>
      </x:c>
    </x:row>
    <x:row r="104">
      <x:c r="A104" s="23"/>
      <x:c r="B104" s="23"/>
      <x:c r="C104" s="23"/>
      <x:c r="D104" s="23"/>
      <x:c r="E104" s="23"/>
      <x:c r="F104" s="23"/>
      <x:c r="G104" s="23"/>
      <x:c r="H104" s="32"/>
      <x:c r="I104" s="32"/>
      <x:c r="J104" s="23"/>
      <x:c r="K104" s="32"/>
      <x:c r="L104" s="23"/>
      <x:c r="M104" s="29" t="str">
        <x:f>IF(COUNTA(A104:L104)=0,"",IF(OR(A104="",B104="",C104="",D104="",G104="",J104=""),"不通过：缺少必填项",IF(COUNTIF($B$5:$B$104,B104)&gt;1,"不通过：编码重复",IF(AND(E104&lt;&gt;"",COUNTIF($B$5:$B$104,E104)=0),"不通过：上级编码不存在","通过"))))</x:f>
      </x:c>
    </x:row>
  </x:sheetData>
  <x:mergeCells>
    <x:mergeCell ref="A1:M1"/>
    <x:mergeCell ref="A2:M2"/>
  </x:mergeCells>
  <x:conditionalFormatting sqref="M5:M104">
    <x:cfRule type="beginsWith" dxfId="0" priority="1" operator="beginsWith" text="不通过"/>
    <x:cfRule type="cellIs" dxfId="1" priority="2" operator="equal">
      <x:formula>"通过"</x:formula>
    </x:cfRule>
  </x:conditionalFormatting>
  <x:dataValidations count="3">
    <x:dataValidation type="list" sqref="A5:A104">
      <x:formula1>"新增,修改,停用"</x:formula1>
    </x:dataValidation>
    <x:dataValidation type="list" sqref="D5:D104">
      <x:formula1>"医院,院区,科室,病区,采血点,床位"</x:formula1>
    </x:dataValidation>
    <x:dataValidation type="list" sqref="G5:G104">
      <x:formula1>"启用,停用"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2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</x:cols>
  <x:sheetData>
    <x:row r="1" ht="32" customHeight="1">
      <x:c r="A1" s="3" t="str">
        <x:v>申请医生与执业科室目录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2" customHeight="1">
      <x:c r="A2" s="7" t="str">
        <x:v>由HIS、统一身份或医生目录提供。医生编码为跨系统稳定标识，姓名不能代替编码；执业科室编码必须已存在于“机构层级”。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数据状态*</x:v>
      </x:c>
      <x:c r="B4" s="12" t="str">
        <x:v>医生编码*</x:v>
      </x:c>
      <x:c r="C4" s="12" t="str">
        <x:v>医生姓名*</x:v>
      </x:c>
      <x:c r="D4" s="12" t="str">
        <x:v>执业科室编码*</x:v>
      </x:c>
      <x:c r="E4" s="12" t="str">
        <x:v>执业证号</x:v>
      </x:c>
      <x:c r="F4" s="12" t="str">
        <x:v>联系电话</x:v>
      </x:c>
      <x:c r="G4" s="12" t="str">
        <x:v>启用状态*</x:v>
      </x:c>
      <x:c r="H4" s="12" t="str">
        <x:v>有效开始日期</x:v>
      </x:c>
      <x:c r="I4" s="12" t="str">
        <x:v>有效结束日期</x:v>
      </x:c>
      <x:c r="J4" s="12" t="str">
        <x:v>权威来源*</x:v>
      </x:c>
      <x:c r="K4" s="12" t="str">
        <x:v>来源更新时间</x:v>
      </x:c>
      <x:c r="L4" s="12" t="str">
        <x:v>备注</x:v>
      </x:c>
      <x:c r="M4" s="12" t="str">
        <x:v>校验结果</x:v>
      </x:c>
    </x:row>
    <x:row r="5">
      <x:c r="A5" s="21"/>
      <x:c r="B5" s="21"/>
      <x:c r="C5" s="21"/>
      <x:c r="D5" s="21"/>
      <x:c r="E5" s="21"/>
      <x:c r="F5" s="21"/>
      <x:c r="G5" s="21"/>
      <x:c r="H5" s="30"/>
      <x:c r="I5" s="30"/>
      <x:c r="J5" s="21"/>
      <x:c r="K5" s="30"/>
      <x:c r="L5" s="21"/>
      <x:c r="M5" s="27" t="str">
        <x:f>IF(COUNTA(A5:L5)=0,"",IF(OR(A5="",B5="",C5="",D5="",G5="",J5=""),"不通过：缺少必填项",IF(COUNTIF($B$5:$B$104,B5)&gt;1,"不通过：编码重复",IF(COUNTIF('机构层级'!$B$5:$B$104,D5)=0,"不通过：科室编码不存在","通过"))))</x:f>
      </x:c>
    </x:row>
    <x:row r="6">
      <x:c r="A6" s="22"/>
      <x:c r="B6" s="22"/>
      <x:c r="C6" s="22"/>
      <x:c r="D6" s="22"/>
      <x:c r="E6" s="22"/>
      <x:c r="F6" s="22"/>
      <x:c r="G6" s="22"/>
      <x:c r="H6" s="31"/>
      <x:c r="I6" s="31"/>
      <x:c r="J6" s="22"/>
      <x:c r="K6" s="31"/>
      <x:c r="L6" s="22"/>
      <x:c r="M6" s="28" t="str">
        <x:f>IF(COUNTA(A6:L6)=0,"",IF(OR(A6="",B6="",C6="",D6="",G6="",J6=""),"不通过：缺少必填项",IF(COUNTIF($B$5:$B$104,B6)&gt;1,"不通过：编码重复",IF(COUNTIF('机构层级'!$B$5:$B$104,D6)=0,"不通过：科室编码不存在","通过"))))</x:f>
      </x:c>
    </x:row>
    <x:row r="7">
      <x:c r="A7" s="22"/>
      <x:c r="B7" s="22"/>
      <x:c r="C7" s="22"/>
      <x:c r="D7" s="22"/>
      <x:c r="E7" s="22"/>
      <x:c r="F7" s="22"/>
      <x:c r="G7" s="22"/>
      <x:c r="H7" s="31"/>
      <x:c r="I7" s="31"/>
      <x:c r="J7" s="22"/>
      <x:c r="K7" s="31"/>
      <x:c r="L7" s="22"/>
      <x:c r="M7" s="28" t="str">
        <x:f>IF(COUNTA(A7:L7)=0,"",IF(OR(A7="",B7="",C7="",D7="",G7="",J7=""),"不通过：缺少必填项",IF(COUNTIF($B$5:$B$104,B7)&gt;1,"不通过：编码重复",IF(COUNTIF('机构层级'!$B$5:$B$104,D7)=0,"不通过：科室编码不存在","通过"))))</x:f>
      </x:c>
    </x:row>
    <x:row r="8">
      <x:c r="A8" s="22"/>
      <x:c r="B8" s="22"/>
      <x:c r="C8" s="22"/>
      <x:c r="D8" s="22"/>
      <x:c r="E8" s="22"/>
      <x:c r="F8" s="22"/>
      <x:c r="G8" s="22"/>
      <x:c r="H8" s="31"/>
      <x:c r="I8" s="31"/>
      <x:c r="J8" s="22"/>
      <x:c r="K8" s="31"/>
      <x:c r="L8" s="22"/>
      <x:c r="M8" s="28" t="str">
        <x:f>IF(COUNTA(A8:L8)=0,"",IF(OR(A8="",B8="",C8="",D8="",G8="",J8=""),"不通过：缺少必填项",IF(COUNTIF($B$5:$B$104,B8)&gt;1,"不通过：编码重复",IF(COUNTIF('机构层级'!$B$5:$B$104,D8)=0,"不通过：科室编码不存在","通过"))))</x:f>
      </x:c>
    </x:row>
    <x:row r="9">
      <x:c r="A9" s="22"/>
      <x:c r="B9" s="22"/>
      <x:c r="C9" s="22"/>
      <x:c r="D9" s="22"/>
      <x:c r="E9" s="22"/>
      <x:c r="F9" s="22"/>
      <x:c r="G9" s="22"/>
      <x:c r="H9" s="31"/>
      <x:c r="I9" s="31"/>
      <x:c r="J9" s="22"/>
      <x:c r="K9" s="31"/>
      <x:c r="L9" s="22"/>
      <x:c r="M9" s="28" t="str">
        <x:f>IF(COUNTA(A9:L9)=0,"",IF(OR(A9="",B9="",C9="",D9="",G9="",J9=""),"不通过：缺少必填项",IF(COUNTIF($B$5:$B$104,B9)&gt;1,"不通过：编码重复",IF(COUNTIF('机构层级'!$B$5:$B$104,D9)=0,"不通过：科室编码不存在","通过"))))</x:f>
      </x:c>
    </x:row>
    <x:row r="10">
      <x:c r="A10" s="22"/>
      <x:c r="B10" s="22"/>
      <x:c r="C10" s="22"/>
      <x:c r="D10" s="22"/>
      <x:c r="E10" s="22"/>
      <x:c r="F10" s="22"/>
      <x:c r="G10" s="22"/>
      <x:c r="H10" s="31"/>
      <x:c r="I10" s="31"/>
      <x:c r="J10" s="22"/>
      <x:c r="K10" s="31"/>
      <x:c r="L10" s="22"/>
      <x:c r="M10" s="28" t="str">
        <x:f>IF(COUNTA(A10:L10)=0,"",IF(OR(A10="",B10="",C10="",D10="",G10="",J10=""),"不通过：缺少必填项",IF(COUNTIF($B$5:$B$104,B10)&gt;1,"不通过：编码重复",IF(COUNTIF('机构层级'!$B$5:$B$104,D10)=0,"不通过：科室编码不存在","通过"))))</x:f>
      </x:c>
    </x:row>
    <x:row r="11">
      <x:c r="A11" s="22"/>
      <x:c r="B11" s="22"/>
      <x:c r="C11" s="22"/>
      <x:c r="D11" s="22"/>
      <x:c r="E11" s="22"/>
      <x:c r="F11" s="22"/>
      <x:c r="G11" s="22"/>
      <x:c r="H11" s="31"/>
      <x:c r="I11" s="31"/>
      <x:c r="J11" s="22"/>
      <x:c r="K11" s="31"/>
      <x:c r="L11" s="22"/>
      <x:c r="M11" s="28" t="str">
        <x:f>IF(COUNTA(A11:L11)=0,"",IF(OR(A11="",B11="",C11="",D11="",G11="",J11=""),"不通过：缺少必填项",IF(COUNTIF($B$5:$B$104,B11)&gt;1,"不通过：编码重复",IF(COUNTIF('机构层级'!$B$5:$B$104,D11)=0,"不通过：科室编码不存在","通过"))))</x:f>
      </x:c>
    </x:row>
    <x:row r="12">
      <x:c r="A12" s="22"/>
      <x:c r="B12" s="22"/>
      <x:c r="C12" s="22"/>
      <x:c r="D12" s="22"/>
      <x:c r="E12" s="22"/>
      <x:c r="F12" s="22"/>
      <x:c r="G12" s="22"/>
      <x:c r="H12" s="31"/>
      <x:c r="I12" s="31"/>
      <x:c r="J12" s="22"/>
      <x:c r="K12" s="31"/>
      <x:c r="L12" s="22"/>
      <x:c r="M12" s="28" t="str">
        <x:f>IF(COUNTA(A12:L12)=0,"",IF(OR(A12="",B12="",C12="",D12="",G12="",J12=""),"不通过：缺少必填项",IF(COUNTIF($B$5:$B$104,B12)&gt;1,"不通过：编码重复",IF(COUNTIF('机构层级'!$B$5:$B$104,D12)=0,"不通过：科室编码不存在","通过"))))</x:f>
      </x:c>
    </x:row>
    <x:row r="13">
      <x:c r="A13" s="22"/>
      <x:c r="B13" s="22"/>
      <x:c r="C13" s="22"/>
      <x:c r="D13" s="22"/>
      <x:c r="E13" s="22"/>
      <x:c r="F13" s="22"/>
      <x:c r="G13" s="22"/>
      <x:c r="H13" s="31"/>
      <x:c r="I13" s="31"/>
      <x:c r="J13" s="22"/>
      <x:c r="K13" s="31"/>
      <x:c r="L13" s="22"/>
      <x:c r="M13" s="28" t="str">
        <x:f>IF(COUNTA(A13:L13)=0,"",IF(OR(A13="",B13="",C13="",D13="",G13="",J13=""),"不通过：缺少必填项",IF(COUNTIF($B$5:$B$104,B13)&gt;1,"不通过：编码重复",IF(COUNTIF('机构层级'!$B$5:$B$104,D13)=0,"不通过：科室编码不存在","通过"))))</x:f>
      </x:c>
    </x:row>
    <x:row r="14">
      <x:c r="A14" s="22"/>
      <x:c r="B14" s="22"/>
      <x:c r="C14" s="22"/>
      <x:c r="D14" s="22"/>
      <x:c r="E14" s="22"/>
      <x:c r="F14" s="22"/>
      <x:c r="G14" s="22"/>
      <x:c r="H14" s="31"/>
      <x:c r="I14" s="31"/>
      <x:c r="J14" s="22"/>
      <x:c r="K14" s="31"/>
      <x:c r="L14" s="22"/>
      <x:c r="M14" s="28" t="str">
        <x:f>IF(COUNTA(A14:L14)=0,"",IF(OR(A14="",B14="",C14="",D14="",G14="",J14=""),"不通过：缺少必填项",IF(COUNTIF($B$5:$B$104,B14)&gt;1,"不通过：编码重复",IF(COUNTIF('机构层级'!$B$5:$B$104,D14)=0,"不通过：科室编码不存在","通过"))))</x:f>
      </x:c>
    </x:row>
    <x:row r="15">
      <x:c r="A15" s="22"/>
      <x:c r="B15" s="22"/>
      <x:c r="C15" s="22"/>
      <x:c r="D15" s="22"/>
      <x:c r="E15" s="22"/>
      <x:c r="F15" s="22"/>
      <x:c r="G15" s="22"/>
      <x:c r="H15" s="31"/>
      <x:c r="I15" s="31"/>
      <x:c r="J15" s="22"/>
      <x:c r="K15" s="31"/>
      <x:c r="L15" s="22"/>
      <x:c r="M15" s="28" t="str">
        <x:f>IF(COUNTA(A15:L15)=0,"",IF(OR(A15="",B15="",C15="",D15="",G15="",J15=""),"不通过：缺少必填项",IF(COUNTIF($B$5:$B$104,B15)&gt;1,"不通过：编码重复",IF(COUNTIF('机构层级'!$B$5:$B$104,D15)=0,"不通过：科室编码不存在","通过"))))</x:f>
      </x:c>
    </x:row>
    <x:row r="16">
      <x:c r="A16" s="22"/>
      <x:c r="B16" s="22"/>
      <x:c r="C16" s="22"/>
      <x:c r="D16" s="22"/>
      <x:c r="E16" s="22"/>
      <x:c r="F16" s="22"/>
      <x:c r="G16" s="22"/>
      <x:c r="H16" s="31"/>
      <x:c r="I16" s="31"/>
      <x:c r="J16" s="22"/>
      <x:c r="K16" s="31"/>
      <x:c r="L16" s="22"/>
      <x:c r="M16" s="28" t="str">
        <x:f>IF(COUNTA(A16:L16)=0,"",IF(OR(A16="",B16="",C16="",D16="",G16="",J16=""),"不通过：缺少必填项",IF(COUNTIF($B$5:$B$104,B16)&gt;1,"不通过：编码重复",IF(COUNTIF('机构层级'!$B$5:$B$104,D16)=0,"不通过：科室编码不存在","通过"))))</x:f>
      </x:c>
    </x:row>
    <x:row r="17">
      <x:c r="A17" s="22"/>
      <x:c r="B17" s="22"/>
      <x:c r="C17" s="22"/>
      <x:c r="D17" s="22"/>
      <x:c r="E17" s="22"/>
      <x:c r="F17" s="22"/>
      <x:c r="G17" s="22"/>
      <x:c r="H17" s="31"/>
      <x:c r="I17" s="31"/>
      <x:c r="J17" s="22"/>
      <x:c r="K17" s="31"/>
      <x:c r="L17" s="22"/>
      <x:c r="M17" s="28" t="str">
        <x:f>IF(COUNTA(A17:L17)=0,"",IF(OR(A17="",B17="",C17="",D17="",G17="",J17=""),"不通过：缺少必填项",IF(COUNTIF($B$5:$B$104,B17)&gt;1,"不通过：编码重复",IF(COUNTIF('机构层级'!$B$5:$B$104,D17)=0,"不通过：科室编码不存在","通过"))))</x:f>
      </x:c>
    </x:row>
    <x:row r="18">
      <x:c r="A18" s="22"/>
      <x:c r="B18" s="22"/>
      <x:c r="C18" s="22"/>
      <x:c r="D18" s="22"/>
      <x:c r="E18" s="22"/>
      <x:c r="F18" s="22"/>
      <x:c r="G18" s="22"/>
      <x:c r="H18" s="31"/>
      <x:c r="I18" s="31"/>
      <x:c r="J18" s="22"/>
      <x:c r="K18" s="31"/>
      <x:c r="L18" s="22"/>
      <x:c r="M18" s="28" t="str">
        <x:f>IF(COUNTA(A18:L18)=0,"",IF(OR(A18="",B18="",C18="",D18="",G18="",J18=""),"不通过：缺少必填项",IF(COUNTIF($B$5:$B$104,B18)&gt;1,"不通过：编码重复",IF(COUNTIF('机构层级'!$B$5:$B$104,D18)=0,"不通过：科室编码不存在","通过"))))</x:f>
      </x:c>
    </x:row>
    <x:row r="19">
      <x:c r="A19" s="22"/>
      <x:c r="B19" s="22"/>
      <x:c r="C19" s="22"/>
      <x:c r="D19" s="22"/>
      <x:c r="E19" s="22"/>
      <x:c r="F19" s="22"/>
      <x:c r="G19" s="22"/>
      <x:c r="H19" s="31"/>
      <x:c r="I19" s="31"/>
      <x:c r="J19" s="22"/>
      <x:c r="K19" s="31"/>
      <x:c r="L19" s="22"/>
      <x:c r="M19" s="28" t="str">
        <x:f>IF(COUNTA(A19:L19)=0,"",IF(OR(A19="",B19="",C19="",D19="",G19="",J19=""),"不通过：缺少必填项",IF(COUNTIF($B$5:$B$104,B19)&gt;1,"不通过：编码重复",IF(COUNTIF('机构层级'!$B$5:$B$104,D19)=0,"不通过：科室编码不存在","通过"))))</x:f>
      </x:c>
    </x:row>
    <x:row r="20">
      <x:c r="A20" s="22"/>
      <x:c r="B20" s="22"/>
      <x:c r="C20" s="22"/>
      <x:c r="D20" s="22"/>
      <x:c r="E20" s="22"/>
      <x:c r="F20" s="22"/>
      <x:c r="G20" s="22"/>
      <x:c r="H20" s="31"/>
      <x:c r="I20" s="31"/>
      <x:c r="J20" s="22"/>
      <x:c r="K20" s="31"/>
      <x:c r="L20" s="22"/>
      <x:c r="M20" s="28" t="str">
        <x:f>IF(COUNTA(A20:L20)=0,"",IF(OR(A20="",B20="",C20="",D20="",G20="",J20=""),"不通过：缺少必填项",IF(COUNTIF($B$5:$B$104,B20)&gt;1,"不通过：编码重复",IF(COUNTIF('机构层级'!$B$5:$B$104,D20)=0,"不通过：科室编码不存在","通过"))))</x:f>
      </x:c>
    </x:row>
    <x:row r="21">
      <x:c r="A21" s="22"/>
      <x:c r="B21" s="22"/>
      <x:c r="C21" s="22"/>
      <x:c r="D21" s="22"/>
      <x:c r="E21" s="22"/>
      <x:c r="F21" s="22"/>
      <x:c r="G21" s="22"/>
      <x:c r="H21" s="31"/>
      <x:c r="I21" s="31"/>
      <x:c r="J21" s="22"/>
      <x:c r="K21" s="31"/>
      <x:c r="L21" s="22"/>
      <x:c r="M21" s="28" t="str">
        <x:f>IF(COUNTA(A21:L21)=0,"",IF(OR(A21="",B21="",C21="",D21="",G21="",J21=""),"不通过：缺少必填项",IF(COUNTIF($B$5:$B$104,B21)&gt;1,"不通过：编码重复",IF(COUNTIF('机构层级'!$B$5:$B$104,D21)=0,"不通过：科室编码不存在","通过"))))</x:f>
      </x:c>
    </x:row>
    <x:row r="22">
      <x:c r="A22" s="22"/>
      <x:c r="B22" s="22"/>
      <x:c r="C22" s="22"/>
      <x:c r="D22" s="22"/>
      <x:c r="E22" s="22"/>
      <x:c r="F22" s="22"/>
      <x:c r="G22" s="22"/>
      <x:c r="H22" s="31"/>
      <x:c r="I22" s="31"/>
      <x:c r="J22" s="22"/>
      <x:c r="K22" s="31"/>
      <x:c r="L22" s="22"/>
      <x:c r="M22" s="28" t="str">
        <x:f>IF(COUNTA(A22:L22)=0,"",IF(OR(A22="",B22="",C22="",D22="",G22="",J22=""),"不通过：缺少必填项",IF(COUNTIF($B$5:$B$104,B22)&gt;1,"不通过：编码重复",IF(COUNTIF('机构层级'!$B$5:$B$104,D22)=0,"不通过：科室编码不存在","通过"))))</x:f>
      </x:c>
    </x:row>
    <x:row r="23">
      <x:c r="A23" s="22"/>
      <x:c r="B23" s="22"/>
      <x:c r="C23" s="22"/>
      <x:c r="D23" s="22"/>
      <x:c r="E23" s="22"/>
      <x:c r="F23" s="22"/>
      <x:c r="G23" s="22"/>
      <x:c r="H23" s="31"/>
      <x:c r="I23" s="31"/>
      <x:c r="J23" s="22"/>
      <x:c r="K23" s="31"/>
      <x:c r="L23" s="22"/>
      <x:c r="M23" s="28" t="str">
        <x:f>IF(COUNTA(A23:L23)=0,"",IF(OR(A23="",B23="",C23="",D23="",G23="",J23=""),"不通过：缺少必填项",IF(COUNTIF($B$5:$B$104,B23)&gt;1,"不通过：编码重复",IF(COUNTIF('机构层级'!$B$5:$B$104,D23)=0,"不通过：科室编码不存在","通过"))))</x:f>
      </x:c>
    </x:row>
    <x:row r="24">
      <x:c r="A24" s="22"/>
      <x:c r="B24" s="22"/>
      <x:c r="C24" s="22"/>
      <x:c r="D24" s="22"/>
      <x:c r="E24" s="22"/>
      <x:c r="F24" s="22"/>
      <x:c r="G24" s="22"/>
      <x:c r="H24" s="31"/>
      <x:c r="I24" s="31"/>
      <x:c r="J24" s="22"/>
      <x:c r="K24" s="31"/>
      <x:c r="L24" s="22"/>
      <x:c r="M24" s="28" t="str">
        <x:f>IF(COUNTA(A24:L24)=0,"",IF(OR(A24="",B24="",C24="",D24="",G24="",J24=""),"不通过：缺少必填项",IF(COUNTIF($B$5:$B$104,B24)&gt;1,"不通过：编码重复",IF(COUNTIF('机构层级'!$B$5:$B$104,D24)=0,"不通过：科室编码不存在","通过"))))</x:f>
      </x:c>
    </x:row>
    <x:row r="25">
      <x:c r="A25" s="22"/>
      <x:c r="B25" s="22"/>
      <x:c r="C25" s="22"/>
      <x:c r="D25" s="22"/>
      <x:c r="E25" s="22"/>
      <x:c r="F25" s="22"/>
      <x:c r="G25" s="22"/>
      <x:c r="H25" s="31"/>
      <x:c r="I25" s="31"/>
      <x:c r="J25" s="22"/>
      <x:c r="K25" s="31"/>
      <x:c r="L25" s="22"/>
      <x:c r="M25" s="28" t="str">
        <x:f>IF(COUNTA(A25:L25)=0,"",IF(OR(A25="",B25="",C25="",D25="",G25="",J25=""),"不通过：缺少必填项",IF(COUNTIF($B$5:$B$104,B25)&gt;1,"不通过：编码重复",IF(COUNTIF('机构层级'!$B$5:$B$104,D25)=0,"不通过：科室编码不存在","通过"))))</x:f>
      </x:c>
    </x:row>
    <x:row r="26">
      <x:c r="A26" s="22"/>
      <x:c r="B26" s="22"/>
      <x:c r="C26" s="22"/>
      <x:c r="D26" s="22"/>
      <x:c r="E26" s="22"/>
      <x:c r="F26" s="22"/>
      <x:c r="G26" s="22"/>
      <x:c r="H26" s="31"/>
      <x:c r="I26" s="31"/>
      <x:c r="J26" s="22"/>
      <x:c r="K26" s="31"/>
      <x:c r="L26" s="22"/>
      <x:c r="M26" s="28" t="str">
        <x:f>IF(COUNTA(A26:L26)=0,"",IF(OR(A26="",B26="",C26="",D26="",G26="",J26=""),"不通过：缺少必填项",IF(COUNTIF($B$5:$B$104,B26)&gt;1,"不通过：编码重复",IF(COUNTIF('机构层级'!$B$5:$B$104,D26)=0,"不通过：科室编码不存在","通过"))))</x:f>
      </x:c>
    </x:row>
    <x:row r="27">
      <x:c r="A27" s="22"/>
      <x:c r="B27" s="22"/>
      <x:c r="C27" s="22"/>
      <x:c r="D27" s="22"/>
      <x:c r="E27" s="22"/>
      <x:c r="F27" s="22"/>
      <x:c r="G27" s="22"/>
      <x:c r="H27" s="31"/>
      <x:c r="I27" s="31"/>
      <x:c r="J27" s="22"/>
      <x:c r="K27" s="31"/>
      <x:c r="L27" s="22"/>
      <x:c r="M27" s="28" t="str">
        <x:f>IF(COUNTA(A27:L27)=0,"",IF(OR(A27="",B27="",C27="",D27="",G27="",J27=""),"不通过：缺少必填项",IF(COUNTIF($B$5:$B$104,B27)&gt;1,"不通过：编码重复",IF(COUNTIF('机构层级'!$B$5:$B$104,D27)=0,"不通过：科室编码不存在","通过"))))</x:f>
      </x:c>
    </x:row>
    <x:row r="28">
      <x:c r="A28" s="22"/>
      <x:c r="B28" s="22"/>
      <x:c r="C28" s="22"/>
      <x:c r="D28" s="22"/>
      <x:c r="E28" s="22"/>
      <x:c r="F28" s="22"/>
      <x:c r="G28" s="22"/>
      <x:c r="H28" s="31"/>
      <x:c r="I28" s="31"/>
      <x:c r="J28" s="22"/>
      <x:c r="K28" s="31"/>
      <x:c r="L28" s="22"/>
      <x:c r="M28" s="28" t="str">
        <x:f>IF(COUNTA(A28:L28)=0,"",IF(OR(A28="",B28="",C28="",D28="",G28="",J28=""),"不通过：缺少必填项",IF(COUNTIF($B$5:$B$104,B28)&gt;1,"不通过：编码重复",IF(COUNTIF('机构层级'!$B$5:$B$104,D28)=0,"不通过：科室编码不存在","通过"))))</x:f>
      </x:c>
    </x:row>
    <x:row r="29">
      <x:c r="A29" s="22"/>
      <x:c r="B29" s="22"/>
      <x:c r="C29" s="22"/>
      <x:c r="D29" s="22"/>
      <x:c r="E29" s="22"/>
      <x:c r="F29" s="22"/>
      <x:c r="G29" s="22"/>
      <x:c r="H29" s="31"/>
      <x:c r="I29" s="31"/>
      <x:c r="J29" s="22"/>
      <x:c r="K29" s="31"/>
      <x:c r="L29" s="22"/>
      <x:c r="M29" s="28" t="str">
        <x:f>IF(COUNTA(A29:L29)=0,"",IF(OR(A29="",B29="",C29="",D29="",G29="",J29=""),"不通过：缺少必填项",IF(COUNTIF($B$5:$B$104,B29)&gt;1,"不通过：编码重复",IF(COUNTIF('机构层级'!$B$5:$B$104,D29)=0,"不通过：科室编码不存在","通过"))))</x:f>
      </x:c>
    </x:row>
    <x:row r="30">
      <x:c r="A30" s="22"/>
      <x:c r="B30" s="22"/>
      <x:c r="C30" s="22"/>
      <x:c r="D30" s="22"/>
      <x:c r="E30" s="22"/>
      <x:c r="F30" s="22"/>
      <x:c r="G30" s="22"/>
      <x:c r="H30" s="31"/>
      <x:c r="I30" s="31"/>
      <x:c r="J30" s="22"/>
      <x:c r="K30" s="31"/>
      <x:c r="L30" s="22"/>
      <x:c r="M30" s="28" t="str">
        <x:f>IF(COUNTA(A30:L30)=0,"",IF(OR(A30="",B30="",C30="",D30="",G30="",J30=""),"不通过：缺少必填项",IF(COUNTIF($B$5:$B$104,B30)&gt;1,"不通过：编码重复",IF(COUNTIF('机构层级'!$B$5:$B$104,D30)=0,"不通过：科室编码不存在","通过"))))</x:f>
      </x:c>
    </x:row>
    <x:row r="31">
      <x:c r="A31" s="22"/>
      <x:c r="B31" s="22"/>
      <x:c r="C31" s="22"/>
      <x:c r="D31" s="22"/>
      <x:c r="E31" s="22"/>
      <x:c r="F31" s="22"/>
      <x:c r="G31" s="22"/>
      <x:c r="H31" s="31"/>
      <x:c r="I31" s="31"/>
      <x:c r="J31" s="22"/>
      <x:c r="K31" s="31"/>
      <x:c r="L31" s="22"/>
      <x:c r="M31" s="28" t="str">
        <x:f>IF(COUNTA(A31:L31)=0,"",IF(OR(A31="",B31="",C31="",D31="",G31="",J31=""),"不通过：缺少必填项",IF(COUNTIF($B$5:$B$104,B31)&gt;1,"不通过：编码重复",IF(COUNTIF('机构层级'!$B$5:$B$104,D31)=0,"不通过：科室编码不存在","通过"))))</x:f>
      </x:c>
    </x:row>
    <x:row r="32">
      <x:c r="A32" s="22"/>
      <x:c r="B32" s="22"/>
      <x:c r="C32" s="22"/>
      <x:c r="D32" s="22"/>
      <x:c r="E32" s="22"/>
      <x:c r="F32" s="22"/>
      <x:c r="G32" s="22"/>
      <x:c r="H32" s="31"/>
      <x:c r="I32" s="31"/>
      <x:c r="J32" s="22"/>
      <x:c r="K32" s="31"/>
      <x:c r="L32" s="22"/>
      <x:c r="M32" s="28" t="str">
        <x:f>IF(COUNTA(A32:L32)=0,"",IF(OR(A32="",B32="",C32="",D32="",G32="",J32=""),"不通过：缺少必填项",IF(COUNTIF($B$5:$B$104,B32)&gt;1,"不通过：编码重复",IF(COUNTIF('机构层级'!$B$5:$B$104,D32)=0,"不通过：科室编码不存在","通过"))))</x:f>
      </x:c>
    </x:row>
    <x:row r="33">
      <x:c r="A33" s="22"/>
      <x:c r="B33" s="22"/>
      <x:c r="C33" s="22"/>
      <x:c r="D33" s="22"/>
      <x:c r="E33" s="22"/>
      <x:c r="F33" s="22"/>
      <x:c r="G33" s="22"/>
      <x:c r="H33" s="31"/>
      <x:c r="I33" s="31"/>
      <x:c r="J33" s="22"/>
      <x:c r="K33" s="31"/>
      <x:c r="L33" s="22"/>
      <x:c r="M33" s="28" t="str">
        <x:f>IF(COUNTA(A33:L33)=0,"",IF(OR(A33="",B33="",C33="",D33="",G33="",J33=""),"不通过：缺少必填项",IF(COUNTIF($B$5:$B$104,B33)&gt;1,"不通过：编码重复",IF(COUNTIF('机构层级'!$B$5:$B$104,D33)=0,"不通过：科室编码不存在","通过"))))</x:f>
      </x:c>
    </x:row>
    <x:row r="34">
      <x:c r="A34" s="22"/>
      <x:c r="B34" s="22"/>
      <x:c r="C34" s="22"/>
      <x:c r="D34" s="22"/>
      <x:c r="E34" s="22"/>
      <x:c r="F34" s="22"/>
      <x:c r="G34" s="22"/>
      <x:c r="H34" s="31"/>
      <x:c r="I34" s="31"/>
      <x:c r="J34" s="22"/>
      <x:c r="K34" s="31"/>
      <x:c r="L34" s="22"/>
      <x:c r="M34" s="28" t="str">
        <x:f>IF(COUNTA(A34:L34)=0,"",IF(OR(A34="",B34="",C34="",D34="",G34="",J34=""),"不通过：缺少必填项",IF(COUNTIF($B$5:$B$104,B34)&gt;1,"不通过：编码重复",IF(COUNTIF('机构层级'!$B$5:$B$104,D34)=0,"不通过：科室编码不存在","通过"))))</x:f>
      </x:c>
    </x:row>
    <x:row r="35">
      <x:c r="A35" s="22"/>
      <x:c r="B35" s="22"/>
      <x:c r="C35" s="22"/>
      <x:c r="D35" s="22"/>
      <x:c r="E35" s="22"/>
      <x:c r="F35" s="22"/>
      <x:c r="G35" s="22"/>
      <x:c r="H35" s="31"/>
      <x:c r="I35" s="31"/>
      <x:c r="J35" s="22"/>
      <x:c r="K35" s="31"/>
      <x:c r="L35" s="22"/>
      <x:c r="M35" s="28" t="str">
        <x:f>IF(COUNTA(A35:L35)=0,"",IF(OR(A35="",B35="",C35="",D35="",G35="",J35=""),"不通过：缺少必填项",IF(COUNTIF($B$5:$B$104,B35)&gt;1,"不通过：编码重复",IF(COUNTIF('机构层级'!$B$5:$B$104,D35)=0,"不通过：科室编码不存在","通过"))))</x:f>
      </x:c>
    </x:row>
    <x:row r="36">
      <x:c r="A36" s="22"/>
      <x:c r="B36" s="22"/>
      <x:c r="C36" s="22"/>
      <x:c r="D36" s="22"/>
      <x:c r="E36" s="22"/>
      <x:c r="F36" s="22"/>
      <x:c r="G36" s="22"/>
      <x:c r="H36" s="31"/>
      <x:c r="I36" s="31"/>
      <x:c r="J36" s="22"/>
      <x:c r="K36" s="31"/>
      <x:c r="L36" s="22"/>
      <x:c r="M36" s="28" t="str">
        <x:f>IF(COUNTA(A36:L36)=0,"",IF(OR(A36="",B36="",C36="",D36="",G36="",J36=""),"不通过：缺少必填项",IF(COUNTIF($B$5:$B$104,B36)&gt;1,"不通过：编码重复",IF(COUNTIF('机构层级'!$B$5:$B$104,D36)=0,"不通过：科室编码不存在","通过"))))</x:f>
      </x:c>
    </x:row>
    <x:row r="37">
      <x:c r="A37" s="22"/>
      <x:c r="B37" s="22"/>
      <x:c r="C37" s="22"/>
      <x:c r="D37" s="22"/>
      <x:c r="E37" s="22"/>
      <x:c r="F37" s="22"/>
      <x:c r="G37" s="22"/>
      <x:c r="H37" s="31"/>
      <x:c r="I37" s="31"/>
      <x:c r="J37" s="22"/>
      <x:c r="K37" s="31"/>
      <x:c r="L37" s="22"/>
      <x:c r="M37" s="28" t="str">
        <x:f>IF(COUNTA(A37:L37)=0,"",IF(OR(A37="",B37="",C37="",D37="",G37="",J37=""),"不通过：缺少必填项",IF(COUNTIF($B$5:$B$104,B37)&gt;1,"不通过：编码重复",IF(COUNTIF('机构层级'!$B$5:$B$104,D37)=0,"不通过：科室编码不存在","通过"))))</x:f>
      </x:c>
    </x:row>
    <x:row r="38">
      <x:c r="A38" s="22"/>
      <x:c r="B38" s="22"/>
      <x:c r="C38" s="22"/>
      <x:c r="D38" s="22"/>
      <x:c r="E38" s="22"/>
      <x:c r="F38" s="22"/>
      <x:c r="G38" s="22"/>
      <x:c r="H38" s="31"/>
      <x:c r="I38" s="31"/>
      <x:c r="J38" s="22"/>
      <x:c r="K38" s="31"/>
      <x:c r="L38" s="22"/>
      <x:c r="M38" s="28" t="str">
        <x:f>IF(COUNTA(A38:L38)=0,"",IF(OR(A38="",B38="",C38="",D38="",G38="",J38=""),"不通过：缺少必填项",IF(COUNTIF($B$5:$B$104,B38)&gt;1,"不通过：编码重复",IF(COUNTIF('机构层级'!$B$5:$B$104,D38)=0,"不通过：科室编码不存在","通过"))))</x:f>
      </x:c>
    </x:row>
    <x:row r="39">
      <x:c r="A39" s="22"/>
      <x:c r="B39" s="22"/>
      <x:c r="C39" s="22"/>
      <x:c r="D39" s="22"/>
      <x:c r="E39" s="22"/>
      <x:c r="F39" s="22"/>
      <x:c r="G39" s="22"/>
      <x:c r="H39" s="31"/>
      <x:c r="I39" s="31"/>
      <x:c r="J39" s="22"/>
      <x:c r="K39" s="31"/>
      <x:c r="L39" s="22"/>
      <x:c r="M39" s="28" t="str">
        <x:f>IF(COUNTA(A39:L39)=0,"",IF(OR(A39="",B39="",C39="",D39="",G39="",J39=""),"不通过：缺少必填项",IF(COUNTIF($B$5:$B$104,B39)&gt;1,"不通过：编码重复",IF(COUNTIF('机构层级'!$B$5:$B$104,D39)=0,"不通过：科室编码不存在","通过"))))</x:f>
      </x:c>
    </x:row>
    <x:row r="40">
      <x:c r="A40" s="22"/>
      <x:c r="B40" s="22"/>
      <x:c r="C40" s="22"/>
      <x:c r="D40" s="22"/>
      <x:c r="E40" s="22"/>
      <x:c r="F40" s="22"/>
      <x:c r="G40" s="22"/>
      <x:c r="H40" s="31"/>
      <x:c r="I40" s="31"/>
      <x:c r="J40" s="22"/>
      <x:c r="K40" s="31"/>
      <x:c r="L40" s="22"/>
      <x:c r="M40" s="28" t="str">
        <x:f>IF(COUNTA(A40:L40)=0,"",IF(OR(A40="",B40="",C40="",D40="",G40="",J40=""),"不通过：缺少必填项",IF(COUNTIF($B$5:$B$104,B40)&gt;1,"不通过：编码重复",IF(COUNTIF('机构层级'!$B$5:$B$104,D40)=0,"不通过：科室编码不存在","通过"))))</x:f>
      </x:c>
    </x:row>
    <x:row r="41">
      <x:c r="A41" s="22"/>
      <x:c r="B41" s="22"/>
      <x:c r="C41" s="22"/>
      <x:c r="D41" s="22"/>
      <x:c r="E41" s="22"/>
      <x:c r="F41" s="22"/>
      <x:c r="G41" s="22"/>
      <x:c r="H41" s="31"/>
      <x:c r="I41" s="31"/>
      <x:c r="J41" s="22"/>
      <x:c r="K41" s="31"/>
      <x:c r="L41" s="22"/>
      <x:c r="M41" s="28" t="str">
        <x:f>IF(COUNTA(A41:L41)=0,"",IF(OR(A41="",B41="",C41="",D41="",G41="",J41=""),"不通过：缺少必填项",IF(COUNTIF($B$5:$B$104,B41)&gt;1,"不通过：编码重复",IF(COUNTIF('机构层级'!$B$5:$B$104,D41)=0,"不通过：科室编码不存在","通过"))))</x:f>
      </x:c>
    </x:row>
    <x:row r="42">
      <x:c r="A42" s="22"/>
      <x:c r="B42" s="22"/>
      <x:c r="C42" s="22"/>
      <x:c r="D42" s="22"/>
      <x:c r="E42" s="22"/>
      <x:c r="F42" s="22"/>
      <x:c r="G42" s="22"/>
      <x:c r="H42" s="31"/>
      <x:c r="I42" s="31"/>
      <x:c r="J42" s="22"/>
      <x:c r="K42" s="31"/>
      <x:c r="L42" s="22"/>
      <x:c r="M42" s="28" t="str">
        <x:f>IF(COUNTA(A42:L42)=0,"",IF(OR(A42="",B42="",C42="",D42="",G42="",J42=""),"不通过：缺少必填项",IF(COUNTIF($B$5:$B$104,B42)&gt;1,"不通过：编码重复",IF(COUNTIF('机构层级'!$B$5:$B$104,D42)=0,"不通过：科室编码不存在","通过"))))</x:f>
      </x:c>
    </x:row>
    <x:row r="43">
      <x:c r="A43" s="22"/>
      <x:c r="B43" s="22"/>
      <x:c r="C43" s="22"/>
      <x:c r="D43" s="22"/>
      <x:c r="E43" s="22"/>
      <x:c r="F43" s="22"/>
      <x:c r="G43" s="22"/>
      <x:c r="H43" s="31"/>
      <x:c r="I43" s="31"/>
      <x:c r="J43" s="22"/>
      <x:c r="K43" s="31"/>
      <x:c r="L43" s="22"/>
      <x:c r="M43" s="28" t="str">
        <x:f>IF(COUNTA(A43:L43)=0,"",IF(OR(A43="",B43="",C43="",D43="",G43="",J43=""),"不通过：缺少必填项",IF(COUNTIF($B$5:$B$104,B43)&gt;1,"不通过：编码重复",IF(COUNTIF('机构层级'!$B$5:$B$104,D43)=0,"不通过：科室编码不存在","通过"))))</x:f>
      </x:c>
    </x:row>
    <x:row r="44">
      <x:c r="A44" s="22"/>
      <x:c r="B44" s="22"/>
      <x:c r="C44" s="22"/>
      <x:c r="D44" s="22"/>
      <x:c r="E44" s="22"/>
      <x:c r="F44" s="22"/>
      <x:c r="G44" s="22"/>
      <x:c r="H44" s="31"/>
      <x:c r="I44" s="31"/>
      <x:c r="J44" s="22"/>
      <x:c r="K44" s="31"/>
      <x:c r="L44" s="22"/>
      <x:c r="M44" s="28" t="str">
        <x:f>IF(COUNTA(A44:L44)=0,"",IF(OR(A44="",B44="",C44="",D44="",G44="",J44=""),"不通过：缺少必填项",IF(COUNTIF($B$5:$B$104,B44)&gt;1,"不通过：编码重复",IF(COUNTIF('机构层级'!$B$5:$B$104,D44)=0,"不通过：科室编码不存在","通过"))))</x:f>
      </x:c>
    </x:row>
    <x:row r="45">
      <x:c r="A45" s="22"/>
      <x:c r="B45" s="22"/>
      <x:c r="C45" s="22"/>
      <x:c r="D45" s="22"/>
      <x:c r="E45" s="22"/>
      <x:c r="F45" s="22"/>
      <x:c r="G45" s="22"/>
      <x:c r="H45" s="31"/>
      <x:c r="I45" s="31"/>
      <x:c r="J45" s="22"/>
      <x:c r="K45" s="31"/>
      <x:c r="L45" s="22"/>
      <x:c r="M45" s="28" t="str">
        <x:f>IF(COUNTA(A45:L45)=0,"",IF(OR(A45="",B45="",C45="",D45="",G45="",J45=""),"不通过：缺少必填项",IF(COUNTIF($B$5:$B$104,B45)&gt;1,"不通过：编码重复",IF(COUNTIF('机构层级'!$B$5:$B$104,D45)=0,"不通过：科室编码不存在","通过"))))</x:f>
      </x:c>
    </x:row>
    <x:row r="46">
      <x:c r="A46" s="22"/>
      <x:c r="B46" s="22"/>
      <x:c r="C46" s="22"/>
      <x:c r="D46" s="22"/>
      <x:c r="E46" s="22"/>
      <x:c r="F46" s="22"/>
      <x:c r="G46" s="22"/>
      <x:c r="H46" s="31"/>
      <x:c r="I46" s="31"/>
      <x:c r="J46" s="22"/>
      <x:c r="K46" s="31"/>
      <x:c r="L46" s="22"/>
      <x:c r="M46" s="28" t="str">
        <x:f>IF(COUNTA(A46:L46)=0,"",IF(OR(A46="",B46="",C46="",D46="",G46="",J46=""),"不通过：缺少必填项",IF(COUNTIF($B$5:$B$104,B46)&gt;1,"不通过：编码重复",IF(COUNTIF('机构层级'!$B$5:$B$104,D46)=0,"不通过：科室编码不存在","通过"))))</x:f>
      </x:c>
    </x:row>
    <x:row r="47">
      <x:c r="A47" s="22"/>
      <x:c r="B47" s="22"/>
      <x:c r="C47" s="22"/>
      <x:c r="D47" s="22"/>
      <x:c r="E47" s="22"/>
      <x:c r="F47" s="22"/>
      <x:c r="G47" s="22"/>
      <x:c r="H47" s="31"/>
      <x:c r="I47" s="31"/>
      <x:c r="J47" s="22"/>
      <x:c r="K47" s="31"/>
      <x:c r="L47" s="22"/>
      <x:c r="M47" s="28" t="str">
        <x:f>IF(COUNTA(A47:L47)=0,"",IF(OR(A47="",B47="",C47="",D47="",G47="",J47=""),"不通过：缺少必填项",IF(COUNTIF($B$5:$B$104,B47)&gt;1,"不通过：编码重复",IF(COUNTIF('机构层级'!$B$5:$B$104,D47)=0,"不通过：科室编码不存在","通过"))))</x:f>
      </x:c>
    </x:row>
    <x:row r="48">
      <x:c r="A48" s="22"/>
      <x:c r="B48" s="22"/>
      <x:c r="C48" s="22"/>
      <x:c r="D48" s="22"/>
      <x:c r="E48" s="22"/>
      <x:c r="F48" s="22"/>
      <x:c r="G48" s="22"/>
      <x:c r="H48" s="31"/>
      <x:c r="I48" s="31"/>
      <x:c r="J48" s="22"/>
      <x:c r="K48" s="31"/>
      <x:c r="L48" s="22"/>
      <x:c r="M48" s="28" t="str">
        <x:f>IF(COUNTA(A48:L48)=0,"",IF(OR(A48="",B48="",C48="",D48="",G48="",J48=""),"不通过：缺少必填项",IF(COUNTIF($B$5:$B$104,B48)&gt;1,"不通过：编码重复",IF(COUNTIF('机构层级'!$B$5:$B$104,D48)=0,"不通过：科室编码不存在","通过"))))</x:f>
      </x:c>
    </x:row>
    <x:row r="49">
      <x:c r="A49" s="22"/>
      <x:c r="B49" s="22"/>
      <x:c r="C49" s="22"/>
      <x:c r="D49" s="22"/>
      <x:c r="E49" s="22"/>
      <x:c r="F49" s="22"/>
      <x:c r="G49" s="22"/>
      <x:c r="H49" s="31"/>
      <x:c r="I49" s="31"/>
      <x:c r="J49" s="22"/>
      <x:c r="K49" s="31"/>
      <x:c r="L49" s="22"/>
      <x:c r="M49" s="28" t="str">
        <x:f>IF(COUNTA(A49:L49)=0,"",IF(OR(A49="",B49="",C49="",D49="",G49="",J49=""),"不通过：缺少必填项",IF(COUNTIF($B$5:$B$104,B49)&gt;1,"不通过：编码重复",IF(COUNTIF('机构层级'!$B$5:$B$104,D49)=0,"不通过：科室编码不存在","通过"))))</x:f>
      </x:c>
    </x:row>
    <x:row r="50">
      <x:c r="A50" s="22"/>
      <x:c r="B50" s="22"/>
      <x:c r="C50" s="22"/>
      <x:c r="D50" s="22"/>
      <x:c r="E50" s="22"/>
      <x:c r="F50" s="22"/>
      <x:c r="G50" s="22"/>
      <x:c r="H50" s="31"/>
      <x:c r="I50" s="31"/>
      <x:c r="J50" s="22"/>
      <x:c r="K50" s="31"/>
      <x:c r="L50" s="22"/>
      <x:c r="M50" s="28" t="str">
        <x:f>IF(COUNTA(A50:L50)=0,"",IF(OR(A50="",B50="",C50="",D50="",G50="",J50=""),"不通过：缺少必填项",IF(COUNTIF($B$5:$B$104,B50)&gt;1,"不通过：编码重复",IF(COUNTIF('机构层级'!$B$5:$B$104,D50)=0,"不通过：科室编码不存在","通过"))))</x:f>
      </x:c>
    </x:row>
    <x:row r="51">
      <x:c r="A51" s="22"/>
      <x:c r="B51" s="22"/>
      <x:c r="C51" s="22"/>
      <x:c r="D51" s="22"/>
      <x:c r="E51" s="22"/>
      <x:c r="F51" s="22"/>
      <x:c r="G51" s="22"/>
      <x:c r="H51" s="31"/>
      <x:c r="I51" s="31"/>
      <x:c r="J51" s="22"/>
      <x:c r="K51" s="31"/>
      <x:c r="L51" s="22"/>
      <x:c r="M51" s="28" t="str">
        <x:f>IF(COUNTA(A51:L51)=0,"",IF(OR(A51="",B51="",C51="",D51="",G51="",J51=""),"不通过：缺少必填项",IF(COUNTIF($B$5:$B$104,B51)&gt;1,"不通过：编码重复",IF(COUNTIF('机构层级'!$B$5:$B$104,D51)=0,"不通过：科室编码不存在","通过"))))</x:f>
      </x:c>
    </x:row>
    <x:row r="52">
      <x:c r="A52" s="22"/>
      <x:c r="B52" s="22"/>
      <x:c r="C52" s="22"/>
      <x:c r="D52" s="22"/>
      <x:c r="E52" s="22"/>
      <x:c r="F52" s="22"/>
      <x:c r="G52" s="22"/>
      <x:c r="H52" s="31"/>
      <x:c r="I52" s="31"/>
      <x:c r="J52" s="22"/>
      <x:c r="K52" s="31"/>
      <x:c r="L52" s="22"/>
      <x:c r="M52" s="28" t="str">
        <x:f>IF(COUNTA(A52:L52)=0,"",IF(OR(A52="",B52="",C52="",D52="",G52="",J52=""),"不通过：缺少必填项",IF(COUNTIF($B$5:$B$104,B52)&gt;1,"不通过：编码重复",IF(COUNTIF('机构层级'!$B$5:$B$104,D52)=0,"不通过：科室编码不存在","通过"))))</x:f>
      </x:c>
    </x:row>
    <x:row r="53">
      <x:c r="A53" s="22"/>
      <x:c r="B53" s="22"/>
      <x:c r="C53" s="22"/>
      <x:c r="D53" s="22"/>
      <x:c r="E53" s="22"/>
      <x:c r="F53" s="22"/>
      <x:c r="G53" s="22"/>
      <x:c r="H53" s="31"/>
      <x:c r="I53" s="31"/>
      <x:c r="J53" s="22"/>
      <x:c r="K53" s="31"/>
      <x:c r="L53" s="22"/>
      <x:c r="M53" s="28" t="str">
        <x:f>IF(COUNTA(A53:L53)=0,"",IF(OR(A53="",B53="",C53="",D53="",G53="",J53=""),"不通过：缺少必填项",IF(COUNTIF($B$5:$B$104,B53)&gt;1,"不通过：编码重复",IF(COUNTIF('机构层级'!$B$5:$B$104,D53)=0,"不通过：科室编码不存在","通过"))))</x:f>
      </x:c>
    </x:row>
    <x:row r="54">
      <x:c r="A54" s="22"/>
      <x:c r="B54" s="22"/>
      <x:c r="C54" s="22"/>
      <x:c r="D54" s="22"/>
      <x:c r="E54" s="22"/>
      <x:c r="F54" s="22"/>
      <x:c r="G54" s="22"/>
      <x:c r="H54" s="31"/>
      <x:c r="I54" s="31"/>
      <x:c r="J54" s="22"/>
      <x:c r="K54" s="31"/>
      <x:c r="L54" s="22"/>
      <x:c r="M54" s="28" t="str">
        <x:f>IF(COUNTA(A54:L54)=0,"",IF(OR(A54="",B54="",C54="",D54="",G54="",J54=""),"不通过：缺少必填项",IF(COUNTIF($B$5:$B$104,B54)&gt;1,"不通过：编码重复",IF(COUNTIF('机构层级'!$B$5:$B$104,D54)=0,"不通过：科室编码不存在","通过"))))</x:f>
      </x:c>
    </x:row>
    <x:row r="55">
      <x:c r="A55" s="22"/>
      <x:c r="B55" s="22"/>
      <x:c r="C55" s="22"/>
      <x:c r="D55" s="22"/>
      <x:c r="E55" s="22"/>
      <x:c r="F55" s="22"/>
      <x:c r="G55" s="22"/>
      <x:c r="H55" s="31"/>
      <x:c r="I55" s="31"/>
      <x:c r="J55" s="22"/>
      <x:c r="K55" s="31"/>
      <x:c r="L55" s="22"/>
      <x:c r="M55" s="28" t="str">
        <x:f>IF(COUNTA(A55:L55)=0,"",IF(OR(A55="",B55="",C55="",D55="",G55="",J55=""),"不通过：缺少必填项",IF(COUNTIF($B$5:$B$104,B55)&gt;1,"不通过：编码重复",IF(COUNTIF('机构层级'!$B$5:$B$104,D55)=0,"不通过：科室编码不存在","通过"))))</x:f>
      </x:c>
    </x:row>
    <x:row r="56">
      <x:c r="A56" s="22"/>
      <x:c r="B56" s="22"/>
      <x:c r="C56" s="22"/>
      <x:c r="D56" s="22"/>
      <x:c r="E56" s="22"/>
      <x:c r="F56" s="22"/>
      <x:c r="G56" s="22"/>
      <x:c r="H56" s="31"/>
      <x:c r="I56" s="31"/>
      <x:c r="J56" s="22"/>
      <x:c r="K56" s="31"/>
      <x:c r="L56" s="22"/>
      <x:c r="M56" s="28" t="str">
        <x:f>IF(COUNTA(A56:L56)=0,"",IF(OR(A56="",B56="",C56="",D56="",G56="",J56=""),"不通过：缺少必填项",IF(COUNTIF($B$5:$B$104,B56)&gt;1,"不通过：编码重复",IF(COUNTIF('机构层级'!$B$5:$B$104,D56)=0,"不通过：科室编码不存在","通过"))))</x:f>
      </x:c>
    </x:row>
    <x:row r="57">
      <x:c r="A57" s="22"/>
      <x:c r="B57" s="22"/>
      <x:c r="C57" s="22"/>
      <x:c r="D57" s="22"/>
      <x:c r="E57" s="22"/>
      <x:c r="F57" s="22"/>
      <x:c r="G57" s="22"/>
      <x:c r="H57" s="31"/>
      <x:c r="I57" s="31"/>
      <x:c r="J57" s="22"/>
      <x:c r="K57" s="31"/>
      <x:c r="L57" s="22"/>
      <x:c r="M57" s="28" t="str">
        <x:f>IF(COUNTA(A57:L57)=0,"",IF(OR(A57="",B57="",C57="",D57="",G57="",J57=""),"不通过：缺少必填项",IF(COUNTIF($B$5:$B$104,B57)&gt;1,"不通过：编码重复",IF(COUNTIF('机构层级'!$B$5:$B$104,D57)=0,"不通过：科室编码不存在","通过"))))</x:f>
      </x:c>
    </x:row>
    <x:row r="58">
      <x:c r="A58" s="22"/>
      <x:c r="B58" s="22"/>
      <x:c r="C58" s="22"/>
      <x:c r="D58" s="22"/>
      <x:c r="E58" s="22"/>
      <x:c r="F58" s="22"/>
      <x:c r="G58" s="22"/>
      <x:c r="H58" s="31"/>
      <x:c r="I58" s="31"/>
      <x:c r="J58" s="22"/>
      <x:c r="K58" s="31"/>
      <x:c r="L58" s="22"/>
      <x:c r="M58" s="28" t="str">
        <x:f>IF(COUNTA(A58:L58)=0,"",IF(OR(A58="",B58="",C58="",D58="",G58="",J58=""),"不通过：缺少必填项",IF(COUNTIF($B$5:$B$104,B58)&gt;1,"不通过：编码重复",IF(COUNTIF('机构层级'!$B$5:$B$104,D58)=0,"不通过：科室编码不存在","通过"))))</x:f>
      </x:c>
    </x:row>
    <x:row r="59">
      <x:c r="A59" s="22"/>
      <x:c r="B59" s="22"/>
      <x:c r="C59" s="22"/>
      <x:c r="D59" s="22"/>
      <x:c r="E59" s="22"/>
      <x:c r="F59" s="22"/>
      <x:c r="G59" s="22"/>
      <x:c r="H59" s="31"/>
      <x:c r="I59" s="31"/>
      <x:c r="J59" s="22"/>
      <x:c r="K59" s="31"/>
      <x:c r="L59" s="22"/>
      <x:c r="M59" s="28" t="str">
        <x:f>IF(COUNTA(A59:L59)=0,"",IF(OR(A59="",B59="",C59="",D59="",G59="",J59=""),"不通过：缺少必填项",IF(COUNTIF($B$5:$B$104,B59)&gt;1,"不通过：编码重复",IF(COUNTIF('机构层级'!$B$5:$B$104,D59)=0,"不通过：科室编码不存在","通过"))))</x:f>
      </x:c>
    </x:row>
    <x:row r="60">
      <x:c r="A60" s="22"/>
      <x:c r="B60" s="22"/>
      <x:c r="C60" s="22"/>
      <x:c r="D60" s="22"/>
      <x:c r="E60" s="22"/>
      <x:c r="F60" s="22"/>
      <x:c r="G60" s="22"/>
      <x:c r="H60" s="31"/>
      <x:c r="I60" s="31"/>
      <x:c r="J60" s="22"/>
      <x:c r="K60" s="31"/>
      <x:c r="L60" s="22"/>
      <x:c r="M60" s="28" t="str">
        <x:f>IF(COUNTA(A60:L60)=0,"",IF(OR(A60="",B60="",C60="",D60="",G60="",J60=""),"不通过：缺少必填项",IF(COUNTIF($B$5:$B$104,B60)&gt;1,"不通过：编码重复",IF(COUNTIF('机构层级'!$B$5:$B$104,D60)=0,"不通过：科室编码不存在","通过"))))</x:f>
      </x:c>
    </x:row>
    <x:row r="61">
      <x:c r="A61" s="22"/>
      <x:c r="B61" s="22"/>
      <x:c r="C61" s="22"/>
      <x:c r="D61" s="22"/>
      <x:c r="E61" s="22"/>
      <x:c r="F61" s="22"/>
      <x:c r="G61" s="22"/>
      <x:c r="H61" s="31"/>
      <x:c r="I61" s="31"/>
      <x:c r="J61" s="22"/>
      <x:c r="K61" s="31"/>
      <x:c r="L61" s="22"/>
      <x:c r="M61" s="28" t="str">
        <x:f>IF(COUNTA(A61:L61)=0,"",IF(OR(A61="",B61="",C61="",D61="",G61="",J61=""),"不通过：缺少必填项",IF(COUNTIF($B$5:$B$104,B61)&gt;1,"不通过：编码重复",IF(COUNTIF('机构层级'!$B$5:$B$104,D61)=0,"不通过：科室编码不存在","通过"))))</x:f>
      </x:c>
    </x:row>
    <x:row r="62">
      <x:c r="A62" s="22"/>
      <x:c r="B62" s="22"/>
      <x:c r="C62" s="22"/>
      <x:c r="D62" s="22"/>
      <x:c r="E62" s="22"/>
      <x:c r="F62" s="22"/>
      <x:c r="G62" s="22"/>
      <x:c r="H62" s="31"/>
      <x:c r="I62" s="31"/>
      <x:c r="J62" s="22"/>
      <x:c r="K62" s="31"/>
      <x:c r="L62" s="22"/>
      <x:c r="M62" s="28" t="str">
        <x:f>IF(COUNTA(A62:L62)=0,"",IF(OR(A62="",B62="",C62="",D62="",G62="",J62=""),"不通过：缺少必填项",IF(COUNTIF($B$5:$B$104,B62)&gt;1,"不通过：编码重复",IF(COUNTIF('机构层级'!$B$5:$B$104,D62)=0,"不通过：科室编码不存在","通过"))))</x:f>
      </x:c>
    </x:row>
    <x:row r="63">
      <x:c r="A63" s="22"/>
      <x:c r="B63" s="22"/>
      <x:c r="C63" s="22"/>
      <x:c r="D63" s="22"/>
      <x:c r="E63" s="22"/>
      <x:c r="F63" s="22"/>
      <x:c r="G63" s="22"/>
      <x:c r="H63" s="31"/>
      <x:c r="I63" s="31"/>
      <x:c r="J63" s="22"/>
      <x:c r="K63" s="31"/>
      <x:c r="L63" s="22"/>
      <x:c r="M63" s="28" t="str">
        <x:f>IF(COUNTA(A63:L63)=0,"",IF(OR(A63="",B63="",C63="",D63="",G63="",J63=""),"不通过：缺少必填项",IF(COUNTIF($B$5:$B$104,B63)&gt;1,"不通过：编码重复",IF(COUNTIF('机构层级'!$B$5:$B$104,D63)=0,"不通过：科室编码不存在","通过"))))</x:f>
      </x:c>
    </x:row>
    <x:row r="64">
      <x:c r="A64" s="22"/>
      <x:c r="B64" s="22"/>
      <x:c r="C64" s="22"/>
      <x:c r="D64" s="22"/>
      <x:c r="E64" s="22"/>
      <x:c r="F64" s="22"/>
      <x:c r="G64" s="22"/>
      <x:c r="H64" s="31"/>
      <x:c r="I64" s="31"/>
      <x:c r="J64" s="22"/>
      <x:c r="K64" s="31"/>
      <x:c r="L64" s="22"/>
      <x:c r="M64" s="28" t="str">
        <x:f>IF(COUNTA(A64:L64)=0,"",IF(OR(A64="",B64="",C64="",D64="",G64="",J64=""),"不通过：缺少必填项",IF(COUNTIF($B$5:$B$104,B64)&gt;1,"不通过：编码重复",IF(COUNTIF('机构层级'!$B$5:$B$104,D64)=0,"不通过：科室编码不存在","通过"))))</x:f>
      </x:c>
    </x:row>
    <x:row r="65">
      <x:c r="A65" s="22"/>
      <x:c r="B65" s="22"/>
      <x:c r="C65" s="22"/>
      <x:c r="D65" s="22"/>
      <x:c r="E65" s="22"/>
      <x:c r="F65" s="22"/>
      <x:c r="G65" s="22"/>
      <x:c r="H65" s="31"/>
      <x:c r="I65" s="31"/>
      <x:c r="J65" s="22"/>
      <x:c r="K65" s="31"/>
      <x:c r="L65" s="22"/>
      <x:c r="M65" s="28" t="str">
        <x:f>IF(COUNTA(A65:L65)=0,"",IF(OR(A65="",B65="",C65="",D65="",G65="",J65=""),"不通过：缺少必填项",IF(COUNTIF($B$5:$B$104,B65)&gt;1,"不通过：编码重复",IF(COUNTIF('机构层级'!$B$5:$B$104,D65)=0,"不通过：科室编码不存在","通过"))))</x:f>
      </x:c>
    </x:row>
    <x:row r="66">
      <x:c r="A66" s="22"/>
      <x:c r="B66" s="22"/>
      <x:c r="C66" s="22"/>
      <x:c r="D66" s="22"/>
      <x:c r="E66" s="22"/>
      <x:c r="F66" s="22"/>
      <x:c r="G66" s="22"/>
      <x:c r="H66" s="31"/>
      <x:c r="I66" s="31"/>
      <x:c r="J66" s="22"/>
      <x:c r="K66" s="31"/>
      <x:c r="L66" s="22"/>
      <x:c r="M66" s="28" t="str">
        <x:f>IF(COUNTA(A66:L66)=0,"",IF(OR(A66="",B66="",C66="",D66="",G66="",J66=""),"不通过：缺少必填项",IF(COUNTIF($B$5:$B$104,B66)&gt;1,"不通过：编码重复",IF(COUNTIF('机构层级'!$B$5:$B$104,D66)=0,"不通过：科室编码不存在","通过"))))</x:f>
      </x:c>
    </x:row>
    <x:row r="67">
      <x:c r="A67" s="22"/>
      <x:c r="B67" s="22"/>
      <x:c r="C67" s="22"/>
      <x:c r="D67" s="22"/>
      <x:c r="E67" s="22"/>
      <x:c r="F67" s="22"/>
      <x:c r="G67" s="22"/>
      <x:c r="H67" s="31"/>
      <x:c r="I67" s="31"/>
      <x:c r="J67" s="22"/>
      <x:c r="K67" s="31"/>
      <x:c r="L67" s="22"/>
      <x:c r="M67" s="28" t="str">
        <x:f>IF(COUNTA(A67:L67)=0,"",IF(OR(A67="",B67="",C67="",D67="",G67="",J67=""),"不通过：缺少必填项",IF(COUNTIF($B$5:$B$104,B67)&gt;1,"不通过：编码重复",IF(COUNTIF('机构层级'!$B$5:$B$104,D67)=0,"不通过：科室编码不存在","通过"))))</x:f>
      </x:c>
    </x:row>
    <x:row r="68">
      <x:c r="A68" s="22"/>
      <x:c r="B68" s="22"/>
      <x:c r="C68" s="22"/>
      <x:c r="D68" s="22"/>
      <x:c r="E68" s="22"/>
      <x:c r="F68" s="22"/>
      <x:c r="G68" s="22"/>
      <x:c r="H68" s="31"/>
      <x:c r="I68" s="31"/>
      <x:c r="J68" s="22"/>
      <x:c r="K68" s="31"/>
      <x:c r="L68" s="22"/>
      <x:c r="M68" s="28" t="str">
        <x:f>IF(COUNTA(A68:L68)=0,"",IF(OR(A68="",B68="",C68="",D68="",G68="",J68=""),"不通过：缺少必填项",IF(COUNTIF($B$5:$B$104,B68)&gt;1,"不通过：编码重复",IF(COUNTIF('机构层级'!$B$5:$B$104,D68)=0,"不通过：科室编码不存在","通过"))))</x:f>
      </x:c>
    </x:row>
    <x:row r="69">
      <x:c r="A69" s="22"/>
      <x:c r="B69" s="22"/>
      <x:c r="C69" s="22"/>
      <x:c r="D69" s="22"/>
      <x:c r="E69" s="22"/>
      <x:c r="F69" s="22"/>
      <x:c r="G69" s="22"/>
      <x:c r="H69" s="31"/>
      <x:c r="I69" s="31"/>
      <x:c r="J69" s="22"/>
      <x:c r="K69" s="31"/>
      <x:c r="L69" s="22"/>
      <x:c r="M69" s="28" t="str">
        <x:f>IF(COUNTA(A69:L69)=0,"",IF(OR(A69="",B69="",C69="",D69="",G69="",J69=""),"不通过：缺少必填项",IF(COUNTIF($B$5:$B$104,B69)&gt;1,"不通过：编码重复",IF(COUNTIF('机构层级'!$B$5:$B$104,D69)=0,"不通过：科室编码不存在","通过"))))</x:f>
      </x:c>
    </x:row>
    <x:row r="70">
      <x:c r="A70" s="22"/>
      <x:c r="B70" s="22"/>
      <x:c r="C70" s="22"/>
      <x:c r="D70" s="22"/>
      <x:c r="E70" s="22"/>
      <x:c r="F70" s="22"/>
      <x:c r="G70" s="22"/>
      <x:c r="H70" s="31"/>
      <x:c r="I70" s="31"/>
      <x:c r="J70" s="22"/>
      <x:c r="K70" s="31"/>
      <x:c r="L70" s="22"/>
      <x:c r="M70" s="28" t="str">
        <x:f>IF(COUNTA(A70:L70)=0,"",IF(OR(A70="",B70="",C70="",D70="",G70="",J70=""),"不通过：缺少必填项",IF(COUNTIF($B$5:$B$104,B70)&gt;1,"不通过：编码重复",IF(COUNTIF('机构层级'!$B$5:$B$104,D70)=0,"不通过：科室编码不存在","通过"))))</x:f>
      </x:c>
    </x:row>
    <x:row r="71">
      <x:c r="A71" s="22"/>
      <x:c r="B71" s="22"/>
      <x:c r="C71" s="22"/>
      <x:c r="D71" s="22"/>
      <x:c r="E71" s="22"/>
      <x:c r="F71" s="22"/>
      <x:c r="G71" s="22"/>
      <x:c r="H71" s="31"/>
      <x:c r="I71" s="31"/>
      <x:c r="J71" s="22"/>
      <x:c r="K71" s="31"/>
      <x:c r="L71" s="22"/>
      <x:c r="M71" s="28" t="str">
        <x:f>IF(COUNTA(A71:L71)=0,"",IF(OR(A71="",B71="",C71="",D71="",G71="",J71=""),"不通过：缺少必填项",IF(COUNTIF($B$5:$B$104,B71)&gt;1,"不通过：编码重复",IF(COUNTIF('机构层级'!$B$5:$B$104,D71)=0,"不通过：科室编码不存在","通过"))))</x:f>
      </x:c>
    </x:row>
    <x:row r="72">
      <x:c r="A72" s="22"/>
      <x:c r="B72" s="22"/>
      <x:c r="C72" s="22"/>
      <x:c r="D72" s="22"/>
      <x:c r="E72" s="22"/>
      <x:c r="F72" s="22"/>
      <x:c r="G72" s="22"/>
      <x:c r="H72" s="31"/>
      <x:c r="I72" s="31"/>
      <x:c r="J72" s="22"/>
      <x:c r="K72" s="31"/>
      <x:c r="L72" s="22"/>
      <x:c r="M72" s="28" t="str">
        <x:f>IF(COUNTA(A72:L72)=0,"",IF(OR(A72="",B72="",C72="",D72="",G72="",J72=""),"不通过：缺少必填项",IF(COUNTIF($B$5:$B$104,B72)&gt;1,"不通过：编码重复",IF(COUNTIF('机构层级'!$B$5:$B$104,D72)=0,"不通过：科室编码不存在","通过"))))</x:f>
      </x:c>
    </x:row>
    <x:row r="73">
      <x:c r="A73" s="22"/>
      <x:c r="B73" s="22"/>
      <x:c r="C73" s="22"/>
      <x:c r="D73" s="22"/>
      <x:c r="E73" s="22"/>
      <x:c r="F73" s="22"/>
      <x:c r="G73" s="22"/>
      <x:c r="H73" s="31"/>
      <x:c r="I73" s="31"/>
      <x:c r="J73" s="22"/>
      <x:c r="K73" s="31"/>
      <x:c r="L73" s="22"/>
      <x:c r="M73" s="28" t="str">
        <x:f>IF(COUNTA(A73:L73)=0,"",IF(OR(A73="",B73="",C73="",D73="",G73="",J73=""),"不通过：缺少必填项",IF(COUNTIF($B$5:$B$104,B73)&gt;1,"不通过：编码重复",IF(COUNTIF('机构层级'!$B$5:$B$104,D73)=0,"不通过：科室编码不存在","通过"))))</x:f>
      </x:c>
    </x:row>
    <x:row r="74">
      <x:c r="A74" s="22"/>
      <x:c r="B74" s="22"/>
      <x:c r="C74" s="22"/>
      <x:c r="D74" s="22"/>
      <x:c r="E74" s="22"/>
      <x:c r="F74" s="22"/>
      <x:c r="G74" s="22"/>
      <x:c r="H74" s="31"/>
      <x:c r="I74" s="31"/>
      <x:c r="J74" s="22"/>
      <x:c r="K74" s="31"/>
      <x:c r="L74" s="22"/>
      <x:c r="M74" s="28" t="str">
        <x:f>IF(COUNTA(A74:L74)=0,"",IF(OR(A74="",B74="",C74="",D74="",G74="",J74=""),"不通过：缺少必填项",IF(COUNTIF($B$5:$B$104,B74)&gt;1,"不通过：编码重复",IF(COUNTIF('机构层级'!$B$5:$B$104,D74)=0,"不通过：科室编码不存在","通过"))))</x:f>
      </x:c>
    </x:row>
    <x:row r="75">
      <x:c r="A75" s="22"/>
      <x:c r="B75" s="22"/>
      <x:c r="C75" s="22"/>
      <x:c r="D75" s="22"/>
      <x:c r="E75" s="22"/>
      <x:c r="F75" s="22"/>
      <x:c r="G75" s="22"/>
      <x:c r="H75" s="31"/>
      <x:c r="I75" s="31"/>
      <x:c r="J75" s="22"/>
      <x:c r="K75" s="31"/>
      <x:c r="L75" s="22"/>
      <x:c r="M75" s="28" t="str">
        <x:f>IF(COUNTA(A75:L75)=0,"",IF(OR(A75="",B75="",C75="",D75="",G75="",J75=""),"不通过：缺少必填项",IF(COUNTIF($B$5:$B$104,B75)&gt;1,"不通过：编码重复",IF(COUNTIF('机构层级'!$B$5:$B$104,D75)=0,"不通过：科室编码不存在","通过"))))</x:f>
      </x:c>
    </x:row>
    <x:row r="76">
      <x:c r="A76" s="22"/>
      <x:c r="B76" s="22"/>
      <x:c r="C76" s="22"/>
      <x:c r="D76" s="22"/>
      <x:c r="E76" s="22"/>
      <x:c r="F76" s="22"/>
      <x:c r="G76" s="22"/>
      <x:c r="H76" s="31"/>
      <x:c r="I76" s="31"/>
      <x:c r="J76" s="22"/>
      <x:c r="K76" s="31"/>
      <x:c r="L76" s="22"/>
      <x:c r="M76" s="28" t="str">
        <x:f>IF(COUNTA(A76:L76)=0,"",IF(OR(A76="",B76="",C76="",D76="",G76="",J76=""),"不通过：缺少必填项",IF(COUNTIF($B$5:$B$104,B76)&gt;1,"不通过：编码重复",IF(COUNTIF('机构层级'!$B$5:$B$104,D76)=0,"不通过：科室编码不存在","通过"))))</x:f>
      </x:c>
    </x:row>
    <x:row r="77">
      <x:c r="A77" s="22"/>
      <x:c r="B77" s="22"/>
      <x:c r="C77" s="22"/>
      <x:c r="D77" s="22"/>
      <x:c r="E77" s="22"/>
      <x:c r="F77" s="22"/>
      <x:c r="G77" s="22"/>
      <x:c r="H77" s="31"/>
      <x:c r="I77" s="31"/>
      <x:c r="J77" s="22"/>
      <x:c r="K77" s="31"/>
      <x:c r="L77" s="22"/>
      <x:c r="M77" s="28" t="str">
        <x:f>IF(COUNTA(A77:L77)=0,"",IF(OR(A77="",B77="",C77="",D77="",G77="",J77=""),"不通过：缺少必填项",IF(COUNTIF($B$5:$B$104,B77)&gt;1,"不通过：编码重复",IF(COUNTIF('机构层级'!$B$5:$B$104,D77)=0,"不通过：科室编码不存在","通过"))))</x:f>
      </x:c>
    </x:row>
    <x:row r="78">
      <x:c r="A78" s="22"/>
      <x:c r="B78" s="22"/>
      <x:c r="C78" s="22"/>
      <x:c r="D78" s="22"/>
      <x:c r="E78" s="22"/>
      <x:c r="F78" s="22"/>
      <x:c r="G78" s="22"/>
      <x:c r="H78" s="31"/>
      <x:c r="I78" s="31"/>
      <x:c r="J78" s="22"/>
      <x:c r="K78" s="31"/>
      <x:c r="L78" s="22"/>
      <x:c r="M78" s="28" t="str">
        <x:f>IF(COUNTA(A78:L78)=0,"",IF(OR(A78="",B78="",C78="",D78="",G78="",J78=""),"不通过：缺少必填项",IF(COUNTIF($B$5:$B$104,B78)&gt;1,"不通过：编码重复",IF(COUNTIF('机构层级'!$B$5:$B$104,D78)=0,"不通过：科室编码不存在","通过"))))</x:f>
      </x:c>
    </x:row>
    <x:row r="79">
      <x:c r="A79" s="22"/>
      <x:c r="B79" s="22"/>
      <x:c r="C79" s="22"/>
      <x:c r="D79" s="22"/>
      <x:c r="E79" s="22"/>
      <x:c r="F79" s="22"/>
      <x:c r="G79" s="22"/>
      <x:c r="H79" s="31"/>
      <x:c r="I79" s="31"/>
      <x:c r="J79" s="22"/>
      <x:c r="K79" s="31"/>
      <x:c r="L79" s="22"/>
      <x:c r="M79" s="28" t="str">
        <x:f>IF(COUNTA(A79:L79)=0,"",IF(OR(A79="",B79="",C79="",D79="",G79="",J79=""),"不通过：缺少必填项",IF(COUNTIF($B$5:$B$104,B79)&gt;1,"不通过：编码重复",IF(COUNTIF('机构层级'!$B$5:$B$104,D79)=0,"不通过：科室编码不存在","通过"))))</x:f>
      </x:c>
    </x:row>
    <x:row r="80">
      <x:c r="A80" s="22"/>
      <x:c r="B80" s="22"/>
      <x:c r="C80" s="22"/>
      <x:c r="D80" s="22"/>
      <x:c r="E80" s="22"/>
      <x:c r="F80" s="22"/>
      <x:c r="G80" s="22"/>
      <x:c r="H80" s="31"/>
      <x:c r="I80" s="31"/>
      <x:c r="J80" s="22"/>
      <x:c r="K80" s="31"/>
      <x:c r="L80" s="22"/>
      <x:c r="M80" s="28" t="str">
        <x:f>IF(COUNTA(A80:L80)=0,"",IF(OR(A80="",B80="",C80="",D80="",G80="",J80=""),"不通过：缺少必填项",IF(COUNTIF($B$5:$B$104,B80)&gt;1,"不通过：编码重复",IF(COUNTIF('机构层级'!$B$5:$B$104,D80)=0,"不通过：科室编码不存在","通过"))))</x:f>
      </x:c>
    </x:row>
    <x:row r="81">
      <x:c r="A81" s="22"/>
      <x:c r="B81" s="22"/>
      <x:c r="C81" s="22"/>
      <x:c r="D81" s="22"/>
      <x:c r="E81" s="22"/>
      <x:c r="F81" s="22"/>
      <x:c r="G81" s="22"/>
      <x:c r="H81" s="31"/>
      <x:c r="I81" s="31"/>
      <x:c r="J81" s="22"/>
      <x:c r="K81" s="31"/>
      <x:c r="L81" s="22"/>
      <x:c r="M81" s="28" t="str">
        <x:f>IF(COUNTA(A81:L81)=0,"",IF(OR(A81="",B81="",C81="",D81="",G81="",J81=""),"不通过：缺少必填项",IF(COUNTIF($B$5:$B$104,B81)&gt;1,"不通过：编码重复",IF(COUNTIF('机构层级'!$B$5:$B$104,D81)=0,"不通过：科室编码不存在","通过"))))</x:f>
      </x:c>
    </x:row>
    <x:row r="82">
      <x:c r="A82" s="22"/>
      <x:c r="B82" s="22"/>
      <x:c r="C82" s="22"/>
      <x:c r="D82" s="22"/>
      <x:c r="E82" s="22"/>
      <x:c r="F82" s="22"/>
      <x:c r="G82" s="22"/>
      <x:c r="H82" s="31"/>
      <x:c r="I82" s="31"/>
      <x:c r="J82" s="22"/>
      <x:c r="K82" s="31"/>
      <x:c r="L82" s="22"/>
      <x:c r="M82" s="28" t="str">
        <x:f>IF(COUNTA(A82:L82)=0,"",IF(OR(A82="",B82="",C82="",D82="",G82="",J82=""),"不通过：缺少必填项",IF(COUNTIF($B$5:$B$104,B82)&gt;1,"不通过：编码重复",IF(COUNTIF('机构层级'!$B$5:$B$104,D82)=0,"不通过：科室编码不存在","通过"))))</x:f>
      </x:c>
    </x:row>
    <x:row r="83">
      <x:c r="A83" s="22"/>
      <x:c r="B83" s="22"/>
      <x:c r="C83" s="22"/>
      <x:c r="D83" s="22"/>
      <x:c r="E83" s="22"/>
      <x:c r="F83" s="22"/>
      <x:c r="G83" s="22"/>
      <x:c r="H83" s="31"/>
      <x:c r="I83" s="31"/>
      <x:c r="J83" s="22"/>
      <x:c r="K83" s="31"/>
      <x:c r="L83" s="22"/>
      <x:c r="M83" s="28" t="str">
        <x:f>IF(COUNTA(A83:L83)=0,"",IF(OR(A83="",B83="",C83="",D83="",G83="",J83=""),"不通过：缺少必填项",IF(COUNTIF($B$5:$B$104,B83)&gt;1,"不通过：编码重复",IF(COUNTIF('机构层级'!$B$5:$B$104,D83)=0,"不通过：科室编码不存在","通过"))))</x:f>
      </x:c>
    </x:row>
    <x:row r="84">
      <x:c r="A84" s="22"/>
      <x:c r="B84" s="22"/>
      <x:c r="C84" s="22"/>
      <x:c r="D84" s="22"/>
      <x:c r="E84" s="22"/>
      <x:c r="F84" s="22"/>
      <x:c r="G84" s="22"/>
      <x:c r="H84" s="31"/>
      <x:c r="I84" s="31"/>
      <x:c r="J84" s="22"/>
      <x:c r="K84" s="31"/>
      <x:c r="L84" s="22"/>
      <x:c r="M84" s="28" t="str">
        <x:f>IF(COUNTA(A84:L84)=0,"",IF(OR(A84="",B84="",C84="",D84="",G84="",J84=""),"不通过：缺少必填项",IF(COUNTIF($B$5:$B$104,B84)&gt;1,"不通过：编码重复",IF(COUNTIF('机构层级'!$B$5:$B$104,D84)=0,"不通过：科室编码不存在","通过"))))</x:f>
      </x:c>
    </x:row>
    <x:row r="85">
      <x:c r="A85" s="22"/>
      <x:c r="B85" s="22"/>
      <x:c r="C85" s="22"/>
      <x:c r="D85" s="22"/>
      <x:c r="E85" s="22"/>
      <x:c r="F85" s="22"/>
      <x:c r="G85" s="22"/>
      <x:c r="H85" s="31"/>
      <x:c r="I85" s="31"/>
      <x:c r="J85" s="22"/>
      <x:c r="K85" s="31"/>
      <x:c r="L85" s="22"/>
      <x:c r="M85" s="28" t="str">
        <x:f>IF(COUNTA(A85:L85)=0,"",IF(OR(A85="",B85="",C85="",D85="",G85="",J85=""),"不通过：缺少必填项",IF(COUNTIF($B$5:$B$104,B85)&gt;1,"不通过：编码重复",IF(COUNTIF('机构层级'!$B$5:$B$104,D85)=0,"不通过：科室编码不存在","通过"))))</x:f>
      </x:c>
    </x:row>
    <x:row r="86">
      <x:c r="A86" s="22"/>
      <x:c r="B86" s="22"/>
      <x:c r="C86" s="22"/>
      <x:c r="D86" s="22"/>
      <x:c r="E86" s="22"/>
      <x:c r="F86" s="22"/>
      <x:c r="G86" s="22"/>
      <x:c r="H86" s="31"/>
      <x:c r="I86" s="31"/>
      <x:c r="J86" s="22"/>
      <x:c r="K86" s="31"/>
      <x:c r="L86" s="22"/>
      <x:c r="M86" s="28" t="str">
        <x:f>IF(COUNTA(A86:L86)=0,"",IF(OR(A86="",B86="",C86="",D86="",G86="",J86=""),"不通过：缺少必填项",IF(COUNTIF($B$5:$B$104,B86)&gt;1,"不通过：编码重复",IF(COUNTIF('机构层级'!$B$5:$B$104,D86)=0,"不通过：科室编码不存在","通过"))))</x:f>
      </x:c>
    </x:row>
    <x:row r="87">
      <x:c r="A87" s="22"/>
      <x:c r="B87" s="22"/>
      <x:c r="C87" s="22"/>
      <x:c r="D87" s="22"/>
      <x:c r="E87" s="22"/>
      <x:c r="F87" s="22"/>
      <x:c r="G87" s="22"/>
      <x:c r="H87" s="31"/>
      <x:c r="I87" s="31"/>
      <x:c r="J87" s="22"/>
      <x:c r="K87" s="31"/>
      <x:c r="L87" s="22"/>
      <x:c r="M87" s="28" t="str">
        <x:f>IF(COUNTA(A87:L87)=0,"",IF(OR(A87="",B87="",C87="",D87="",G87="",J87=""),"不通过：缺少必填项",IF(COUNTIF($B$5:$B$104,B87)&gt;1,"不通过：编码重复",IF(COUNTIF('机构层级'!$B$5:$B$104,D87)=0,"不通过：科室编码不存在","通过"))))</x:f>
      </x:c>
    </x:row>
    <x:row r="88">
      <x:c r="A88" s="22"/>
      <x:c r="B88" s="22"/>
      <x:c r="C88" s="22"/>
      <x:c r="D88" s="22"/>
      <x:c r="E88" s="22"/>
      <x:c r="F88" s="22"/>
      <x:c r="G88" s="22"/>
      <x:c r="H88" s="31"/>
      <x:c r="I88" s="31"/>
      <x:c r="J88" s="22"/>
      <x:c r="K88" s="31"/>
      <x:c r="L88" s="22"/>
      <x:c r="M88" s="28" t="str">
        <x:f>IF(COUNTA(A88:L88)=0,"",IF(OR(A88="",B88="",C88="",D88="",G88="",J88=""),"不通过：缺少必填项",IF(COUNTIF($B$5:$B$104,B88)&gt;1,"不通过：编码重复",IF(COUNTIF('机构层级'!$B$5:$B$104,D88)=0,"不通过：科室编码不存在","通过"))))</x:f>
      </x:c>
    </x:row>
    <x:row r="89">
      <x:c r="A89" s="22"/>
      <x:c r="B89" s="22"/>
      <x:c r="C89" s="22"/>
      <x:c r="D89" s="22"/>
      <x:c r="E89" s="22"/>
      <x:c r="F89" s="22"/>
      <x:c r="G89" s="22"/>
      <x:c r="H89" s="31"/>
      <x:c r="I89" s="31"/>
      <x:c r="J89" s="22"/>
      <x:c r="K89" s="31"/>
      <x:c r="L89" s="22"/>
      <x:c r="M89" s="28" t="str">
        <x:f>IF(COUNTA(A89:L89)=0,"",IF(OR(A89="",B89="",C89="",D89="",G89="",J89=""),"不通过：缺少必填项",IF(COUNTIF($B$5:$B$104,B89)&gt;1,"不通过：编码重复",IF(COUNTIF('机构层级'!$B$5:$B$104,D89)=0,"不通过：科室编码不存在","通过"))))</x:f>
      </x:c>
    </x:row>
    <x:row r="90">
      <x:c r="A90" s="22"/>
      <x:c r="B90" s="22"/>
      <x:c r="C90" s="22"/>
      <x:c r="D90" s="22"/>
      <x:c r="E90" s="22"/>
      <x:c r="F90" s="22"/>
      <x:c r="G90" s="22"/>
      <x:c r="H90" s="31"/>
      <x:c r="I90" s="31"/>
      <x:c r="J90" s="22"/>
      <x:c r="K90" s="31"/>
      <x:c r="L90" s="22"/>
      <x:c r="M90" s="28" t="str">
        <x:f>IF(COUNTA(A90:L90)=0,"",IF(OR(A90="",B90="",C90="",D90="",G90="",J90=""),"不通过：缺少必填项",IF(COUNTIF($B$5:$B$104,B90)&gt;1,"不通过：编码重复",IF(COUNTIF('机构层级'!$B$5:$B$104,D90)=0,"不通过：科室编码不存在","通过"))))</x:f>
      </x:c>
    </x:row>
    <x:row r="91">
      <x:c r="A91" s="22"/>
      <x:c r="B91" s="22"/>
      <x:c r="C91" s="22"/>
      <x:c r="D91" s="22"/>
      <x:c r="E91" s="22"/>
      <x:c r="F91" s="22"/>
      <x:c r="G91" s="22"/>
      <x:c r="H91" s="31"/>
      <x:c r="I91" s="31"/>
      <x:c r="J91" s="22"/>
      <x:c r="K91" s="31"/>
      <x:c r="L91" s="22"/>
      <x:c r="M91" s="28" t="str">
        <x:f>IF(COUNTA(A91:L91)=0,"",IF(OR(A91="",B91="",C91="",D91="",G91="",J91=""),"不通过：缺少必填项",IF(COUNTIF($B$5:$B$104,B91)&gt;1,"不通过：编码重复",IF(COUNTIF('机构层级'!$B$5:$B$104,D91)=0,"不通过：科室编码不存在","通过"))))</x:f>
      </x:c>
    </x:row>
    <x:row r="92">
      <x:c r="A92" s="22"/>
      <x:c r="B92" s="22"/>
      <x:c r="C92" s="22"/>
      <x:c r="D92" s="22"/>
      <x:c r="E92" s="22"/>
      <x:c r="F92" s="22"/>
      <x:c r="G92" s="22"/>
      <x:c r="H92" s="31"/>
      <x:c r="I92" s="31"/>
      <x:c r="J92" s="22"/>
      <x:c r="K92" s="31"/>
      <x:c r="L92" s="22"/>
      <x:c r="M92" s="28" t="str">
        <x:f>IF(COUNTA(A92:L92)=0,"",IF(OR(A92="",B92="",C92="",D92="",G92="",J92=""),"不通过：缺少必填项",IF(COUNTIF($B$5:$B$104,B92)&gt;1,"不通过：编码重复",IF(COUNTIF('机构层级'!$B$5:$B$104,D92)=0,"不通过：科室编码不存在","通过"))))</x:f>
      </x:c>
    </x:row>
    <x:row r="93">
      <x:c r="A93" s="22"/>
      <x:c r="B93" s="22"/>
      <x:c r="C93" s="22"/>
      <x:c r="D93" s="22"/>
      <x:c r="E93" s="22"/>
      <x:c r="F93" s="22"/>
      <x:c r="G93" s="22"/>
      <x:c r="H93" s="31"/>
      <x:c r="I93" s="31"/>
      <x:c r="J93" s="22"/>
      <x:c r="K93" s="31"/>
      <x:c r="L93" s="22"/>
      <x:c r="M93" s="28" t="str">
        <x:f>IF(COUNTA(A93:L93)=0,"",IF(OR(A93="",B93="",C93="",D93="",G93="",J93=""),"不通过：缺少必填项",IF(COUNTIF($B$5:$B$104,B93)&gt;1,"不通过：编码重复",IF(COUNTIF('机构层级'!$B$5:$B$104,D93)=0,"不通过：科室编码不存在","通过"))))</x:f>
      </x:c>
    </x:row>
    <x:row r="94">
      <x:c r="A94" s="22"/>
      <x:c r="B94" s="22"/>
      <x:c r="C94" s="22"/>
      <x:c r="D94" s="22"/>
      <x:c r="E94" s="22"/>
      <x:c r="F94" s="22"/>
      <x:c r="G94" s="22"/>
      <x:c r="H94" s="31"/>
      <x:c r="I94" s="31"/>
      <x:c r="J94" s="22"/>
      <x:c r="K94" s="31"/>
      <x:c r="L94" s="22"/>
      <x:c r="M94" s="28" t="str">
        <x:f>IF(COUNTA(A94:L94)=0,"",IF(OR(A94="",B94="",C94="",D94="",G94="",J94=""),"不通过：缺少必填项",IF(COUNTIF($B$5:$B$104,B94)&gt;1,"不通过：编码重复",IF(COUNTIF('机构层级'!$B$5:$B$104,D94)=0,"不通过：科室编码不存在","通过"))))</x:f>
      </x:c>
    </x:row>
    <x:row r="95">
      <x:c r="A95" s="22"/>
      <x:c r="B95" s="22"/>
      <x:c r="C95" s="22"/>
      <x:c r="D95" s="22"/>
      <x:c r="E95" s="22"/>
      <x:c r="F95" s="22"/>
      <x:c r="G95" s="22"/>
      <x:c r="H95" s="31"/>
      <x:c r="I95" s="31"/>
      <x:c r="J95" s="22"/>
      <x:c r="K95" s="31"/>
      <x:c r="L95" s="22"/>
      <x:c r="M95" s="28" t="str">
        <x:f>IF(COUNTA(A95:L95)=0,"",IF(OR(A95="",B95="",C95="",D95="",G95="",J95=""),"不通过：缺少必填项",IF(COUNTIF($B$5:$B$104,B95)&gt;1,"不通过：编码重复",IF(COUNTIF('机构层级'!$B$5:$B$104,D95)=0,"不通过：科室编码不存在","通过"))))</x:f>
      </x:c>
    </x:row>
    <x:row r="96">
      <x:c r="A96" s="22"/>
      <x:c r="B96" s="22"/>
      <x:c r="C96" s="22"/>
      <x:c r="D96" s="22"/>
      <x:c r="E96" s="22"/>
      <x:c r="F96" s="22"/>
      <x:c r="G96" s="22"/>
      <x:c r="H96" s="31"/>
      <x:c r="I96" s="31"/>
      <x:c r="J96" s="22"/>
      <x:c r="K96" s="31"/>
      <x:c r="L96" s="22"/>
      <x:c r="M96" s="28" t="str">
        <x:f>IF(COUNTA(A96:L96)=0,"",IF(OR(A96="",B96="",C96="",D96="",G96="",J96=""),"不通过：缺少必填项",IF(COUNTIF($B$5:$B$104,B96)&gt;1,"不通过：编码重复",IF(COUNTIF('机构层级'!$B$5:$B$104,D96)=0,"不通过：科室编码不存在","通过"))))</x:f>
      </x:c>
    </x:row>
    <x:row r="97">
      <x:c r="A97" s="22"/>
      <x:c r="B97" s="22"/>
      <x:c r="C97" s="22"/>
      <x:c r="D97" s="22"/>
      <x:c r="E97" s="22"/>
      <x:c r="F97" s="22"/>
      <x:c r="G97" s="22"/>
      <x:c r="H97" s="31"/>
      <x:c r="I97" s="31"/>
      <x:c r="J97" s="22"/>
      <x:c r="K97" s="31"/>
      <x:c r="L97" s="22"/>
      <x:c r="M97" s="28" t="str">
        <x:f>IF(COUNTA(A97:L97)=0,"",IF(OR(A97="",B97="",C97="",D97="",G97="",J97=""),"不通过：缺少必填项",IF(COUNTIF($B$5:$B$104,B97)&gt;1,"不通过：编码重复",IF(COUNTIF('机构层级'!$B$5:$B$104,D97)=0,"不通过：科室编码不存在","通过"))))</x:f>
      </x:c>
    </x:row>
    <x:row r="98">
      <x:c r="A98" s="22"/>
      <x:c r="B98" s="22"/>
      <x:c r="C98" s="22"/>
      <x:c r="D98" s="22"/>
      <x:c r="E98" s="22"/>
      <x:c r="F98" s="22"/>
      <x:c r="G98" s="22"/>
      <x:c r="H98" s="31"/>
      <x:c r="I98" s="31"/>
      <x:c r="J98" s="22"/>
      <x:c r="K98" s="31"/>
      <x:c r="L98" s="22"/>
      <x:c r="M98" s="28" t="str">
        <x:f>IF(COUNTA(A98:L98)=0,"",IF(OR(A98="",B98="",C98="",D98="",G98="",J98=""),"不通过：缺少必填项",IF(COUNTIF($B$5:$B$104,B98)&gt;1,"不通过：编码重复",IF(COUNTIF('机构层级'!$B$5:$B$104,D98)=0,"不通过：科室编码不存在","通过"))))</x:f>
      </x:c>
    </x:row>
    <x:row r="99">
      <x:c r="A99" s="22"/>
      <x:c r="B99" s="22"/>
      <x:c r="C99" s="22"/>
      <x:c r="D99" s="22"/>
      <x:c r="E99" s="22"/>
      <x:c r="F99" s="22"/>
      <x:c r="G99" s="22"/>
      <x:c r="H99" s="31"/>
      <x:c r="I99" s="31"/>
      <x:c r="J99" s="22"/>
      <x:c r="K99" s="31"/>
      <x:c r="L99" s="22"/>
      <x:c r="M99" s="28" t="str">
        <x:f>IF(COUNTA(A99:L99)=0,"",IF(OR(A99="",B99="",C99="",D99="",G99="",J99=""),"不通过：缺少必填项",IF(COUNTIF($B$5:$B$104,B99)&gt;1,"不通过：编码重复",IF(COUNTIF('机构层级'!$B$5:$B$104,D99)=0,"不通过：科室编码不存在","通过"))))</x:f>
      </x:c>
    </x:row>
    <x:row r="100">
      <x:c r="A100" s="22"/>
      <x:c r="B100" s="22"/>
      <x:c r="C100" s="22"/>
      <x:c r="D100" s="22"/>
      <x:c r="E100" s="22"/>
      <x:c r="F100" s="22"/>
      <x:c r="G100" s="22"/>
      <x:c r="H100" s="31"/>
      <x:c r="I100" s="31"/>
      <x:c r="J100" s="22"/>
      <x:c r="K100" s="31"/>
      <x:c r="L100" s="22"/>
      <x:c r="M100" s="28" t="str">
        <x:f>IF(COUNTA(A100:L100)=0,"",IF(OR(A100="",B100="",C100="",D100="",G100="",J100=""),"不通过：缺少必填项",IF(COUNTIF($B$5:$B$104,B100)&gt;1,"不通过：编码重复",IF(COUNTIF('机构层级'!$B$5:$B$104,D100)=0,"不通过：科室编码不存在","通过"))))</x:f>
      </x:c>
    </x:row>
    <x:row r="101">
      <x:c r="A101" s="22"/>
      <x:c r="B101" s="22"/>
      <x:c r="C101" s="22"/>
      <x:c r="D101" s="22"/>
      <x:c r="E101" s="22"/>
      <x:c r="F101" s="22"/>
      <x:c r="G101" s="22"/>
      <x:c r="H101" s="31"/>
      <x:c r="I101" s="31"/>
      <x:c r="J101" s="22"/>
      <x:c r="K101" s="31"/>
      <x:c r="L101" s="22"/>
      <x:c r="M101" s="28" t="str">
        <x:f>IF(COUNTA(A101:L101)=0,"",IF(OR(A101="",B101="",C101="",D101="",G101="",J101=""),"不通过：缺少必填项",IF(COUNTIF($B$5:$B$104,B101)&gt;1,"不通过：编码重复",IF(COUNTIF('机构层级'!$B$5:$B$104,D101)=0,"不通过：科室编码不存在","通过"))))</x:f>
      </x:c>
    </x:row>
    <x:row r="102">
      <x:c r="A102" s="22"/>
      <x:c r="B102" s="22"/>
      <x:c r="C102" s="22"/>
      <x:c r="D102" s="22"/>
      <x:c r="E102" s="22"/>
      <x:c r="F102" s="22"/>
      <x:c r="G102" s="22"/>
      <x:c r="H102" s="31"/>
      <x:c r="I102" s="31"/>
      <x:c r="J102" s="22"/>
      <x:c r="K102" s="31"/>
      <x:c r="L102" s="22"/>
      <x:c r="M102" s="28" t="str">
        <x:f>IF(COUNTA(A102:L102)=0,"",IF(OR(A102="",B102="",C102="",D102="",G102="",J102=""),"不通过：缺少必填项",IF(COUNTIF($B$5:$B$104,B102)&gt;1,"不通过：编码重复",IF(COUNTIF('机构层级'!$B$5:$B$104,D102)=0,"不通过：科室编码不存在","通过"))))</x:f>
      </x:c>
    </x:row>
    <x:row r="103">
      <x:c r="A103" s="22"/>
      <x:c r="B103" s="22"/>
      <x:c r="C103" s="22"/>
      <x:c r="D103" s="22"/>
      <x:c r="E103" s="22"/>
      <x:c r="F103" s="22"/>
      <x:c r="G103" s="22"/>
      <x:c r="H103" s="31"/>
      <x:c r="I103" s="31"/>
      <x:c r="J103" s="22"/>
      <x:c r="K103" s="31"/>
      <x:c r="L103" s="22"/>
      <x:c r="M103" s="28" t="str">
        <x:f>IF(COUNTA(A103:L103)=0,"",IF(OR(A103="",B103="",C103="",D103="",G103="",J103=""),"不通过：缺少必填项",IF(COUNTIF($B$5:$B$104,B103)&gt;1,"不通过：编码重复",IF(COUNTIF('机构层级'!$B$5:$B$104,D103)=0,"不通过：科室编码不存在","通过"))))</x:f>
      </x:c>
    </x:row>
    <x:row r="104">
      <x:c r="A104" s="23"/>
      <x:c r="B104" s="23"/>
      <x:c r="C104" s="23"/>
      <x:c r="D104" s="23"/>
      <x:c r="E104" s="23"/>
      <x:c r="F104" s="23"/>
      <x:c r="G104" s="23"/>
      <x:c r="H104" s="32"/>
      <x:c r="I104" s="32"/>
      <x:c r="J104" s="23"/>
      <x:c r="K104" s="32"/>
      <x:c r="L104" s="23"/>
      <x:c r="M104" s="29" t="str">
        <x:f>IF(COUNTA(A104:L104)=0,"",IF(OR(A104="",B104="",C104="",D104="",G104="",J104=""),"不通过：缺少必填项",IF(COUNTIF($B$5:$B$104,B104)&gt;1,"不通过：编码重复",IF(COUNTIF('机构层级'!$B$5:$B$104,D104)=0,"不通过：科室编码不存在","通过"))))</x:f>
      </x:c>
    </x:row>
  </x:sheetData>
  <x:mergeCells>
    <x:mergeCell ref="A1:M1"/>
    <x:mergeCell ref="A2:M2"/>
  </x:mergeCells>
  <x:conditionalFormatting sqref="M5:M104">
    <x:cfRule type="beginsWith" dxfId="2" priority="1" operator="beginsWith" text="不通过"/>
    <x:cfRule type="cellIs" dxfId="3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G5:G104">
      <x:formula1>"启用,停用"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8" hidden="0" customWidth="1"/>
    <x:col min="9" max="9" width="24" hidden="0" customWidth="1"/>
    <x:col min="10" max="10" width="28" hidden="0" customWidth="1"/>
    <x:col min="11" max="11" width="28" hidden="0" customWidth="1"/>
  </x:cols>
  <x:sheetData>
    <x:row r="1" ht="32" customHeight="1">
      <x:c r="A1" s="3" t="str">
        <x:v>检验专业组目录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由检验科审定。专业组用于项目分工、工作台队列、审核权限和设备路由；编码必须稳定，不能以人员姓名或临时班次代替。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数据状态*</x:v>
      </x:c>
      <x:c r="B4" s="12" t="str">
        <x:v>专业组编码*</x:v>
      </x:c>
      <x:c r="C4" s="12" t="str">
        <x:v>专业组名称*</x:v>
      </x:c>
      <x:c r="D4" s="12" t="str">
        <x:v>排序*</x:v>
      </x:c>
      <x:c r="E4" s="12" t="str">
        <x:v>启用状态*</x:v>
      </x:c>
      <x:c r="F4" s="12" t="str">
        <x:v>有效开始日期</x:v>
      </x:c>
      <x:c r="G4" s="12" t="str">
        <x:v>有效结束日期</x:v>
      </x:c>
      <x:c r="H4" s="12" t="str">
        <x:v>负责人</x:v>
      </x:c>
      <x:c r="I4" s="12" t="str">
        <x:v>依据/版本*</x:v>
      </x:c>
      <x:c r="J4" s="12" t="str">
        <x:v>备注</x:v>
      </x:c>
      <x:c r="K4" s="12" t="str">
        <x:v>校验结果</x:v>
      </x:c>
    </x:row>
    <x:row r="5">
      <x:c r="A5" s="21"/>
      <x:c r="B5" s="21"/>
      <x:c r="C5" s="21"/>
      <x:c r="D5" s="33"/>
      <x:c r="E5" s="21"/>
      <x:c r="F5" s="30"/>
      <x:c r="G5" s="30"/>
      <x:c r="H5" s="21"/>
      <x:c r="I5" s="21"/>
      <x:c r="J5" s="21"/>
      <x:c r="K5" s="27" t="str">
        <x:f>IF(COUNTA(A5:J5)=0,"",IF(OR(A5="",B5="",C5="",D5="",E5="",I5=""),"不通过：缺少必填项",IF(COUNTIF($B$5:$B$104,B5)&gt;1,"不通过：编码重复",IF(COUNTIF($D$5:$D$104,D5)&gt;1,"不通过：排序重复","通过"))))</x:f>
      </x:c>
    </x:row>
    <x:row r="6">
      <x:c r="A6" s="22"/>
      <x:c r="B6" s="22"/>
      <x:c r="C6" s="22"/>
      <x:c r="D6" s="34"/>
      <x:c r="E6" s="22"/>
      <x:c r="F6" s="31"/>
      <x:c r="G6" s="31"/>
      <x:c r="H6" s="22"/>
      <x:c r="I6" s="22"/>
      <x:c r="J6" s="22"/>
      <x:c r="K6" s="28" t="str">
        <x:f>IF(COUNTA(A6:J6)=0,"",IF(OR(A6="",B6="",C6="",D6="",E6="",I6=""),"不通过：缺少必填项",IF(COUNTIF($B$5:$B$104,B6)&gt;1,"不通过：编码重复",IF(COUNTIF($D$5:$D$104,D6)&gt;1,"不通过：排序重复","通过"))))</x:f>
      </x:c>
    </x:row>
    <x:row r="7">
      <x:c r="A7" s="22"/>
      <x:c r="B7" s="22"/>
      <x:c r="C7" s="22"/>
      <x:c r="D7" s="34"/>
      <x:c r="E7" s="22"/>
      <x:c r="F7" s="31"/>
      <x:c r="G7" s="31"/>
      <x:c r="H7" s="22"/>
      <x:c r="I7" s="22"/>
      <x:c r="J7" s="22"/>
      <x:c r="K7" s="28" t="str">
        <x:f>IF(COUNTA(A7:J7)=0,"",IF(OR(A7="",B7="",C7="",D7="",E7="",I7=""),"不通过：缺少必填项",IF(COUNTIF($B$5:$B$104,B7)&gt;1,"不通过：编码重复",IF(COUNTIF($D$5:$D$104,D7)&gt;1,"不通过：排序重复","通过"))))</x:f>
      </x:c>
    </x:row>
    <x:row r="8">
      <x:c r="A8" s="22"/>
      <x:c r="B8" s="22"/>
      <x:c r="C8" s="22"/>
      <x:c r="D8" s="34"/>
      <x:c r="E8" s="22"/>
      <x:c r="F8" s="31"/>
      <x:c r="G8" s="31"/>
      <x:c r="H8" s="22"/>
      <x:c r="I8" s="22"/>
      <x:c r="J8" s="22"/>
      <x:c r="K8" s="28" t="str">
        <x:f>IF(COUNTA(A8:J8)=0,"",IF(OR(A8="",B8="",C8="",D8="",E8="",I8=""),"不通过：缺少必填项",IF(COUNTIF($B$5:$B$104,B8)&gt;1,"不通过：编码重复",IF(COUNTIF($D$5:$D$104,D8)&gt;1,"不通过：排序重复","通过"))))</x:f>
      </x:c>
    </x:row>
    <x:row r="9">
      <x:c r="A9" s="22"/>
      <x:c r="B9" s="22"/>
      <x:c r="C9" s="22"/>
      <x:c r="D9" s="34"/>
      <x:c r="E9" s="22"/>
      <x:c r="F9" s="31"/>
      <x:c r="G9" s="31"/>
      <x:c r="H9" s="22"/>
      <x:c r="I9" s="22"/>
      <x:c r="J9" s="22"/>
      <x:c r="K9" s="28" t="str">
        <x:f>IF(COUNTA(A9:J9)=0,"",IF(OR(A9="",B9="",C9="",D9="",E9="",I9=""),"不通过：缺少必填项",IF(COUNTIF($B$5:$B$104,B9)&gt;1,"不通过：编码重复",IF(COUNTIF($D$5:$D$104,D9)&gt;1,"不通过：排序重复","通过"))))</x:f>
      </x:c>
    </x:row>
    <x:row r="10">
      <x:c r="A10" s="22"/>
      <x:c r="B10" s="22"/>
      <x:c r="C10" s="22"/>
      <x:c r="D10" s="34"/>
      <x:c r="E10" s="22"/>
      <x:c r="F10" s="31"/>
      <x:c r="G10" s="31"/>
      <x:c r="H10" s="22"/>
      <x:c r="I10" s="22"/>
      <x:c r="J10" s="22"/>
      <x:c r="K10" s="28" t="str">
        <x:f>IF(COUNTA(A10:J10)=0,"",IF(OR(A10="",B10="",C10="",D10="",E10="",I10=""),"不通过：缺少必填项",IF(COUNTIF($B$5:$B$104,B10)&gt;1,"不通过：编码重复",IF(COUNTIF($D$5:$D$104,D10)&gt;1,"不通过：排序重复","通过"))))</x:f>
      </x:c>
    </x:row>
    <x:row r="11">
      <x:c r="A11" s="22"/>
      <x:c r="B11" s="22"/>
      <x:c r="C11" s="22"/>
      <x:c r="D11" s="34"/>
      <x:c r="E11" s="22"/>
      <x:c r="F11" s="31"/>
      <x:c r="G11" s="31"/>
      <x:c r="H11" s="22"/>
      <x:c r="I11" s="22"/>
      <x:c r="J11" s="22"/>
      <x:c r="K11" s="28" t="str">
        <x:f>IF(COUNTA(A11:J11)=0,"",IF(OR(A11="",B11="",C11="",D11="",E11="",I11=""),"不通过：缺少必填项",IF(COUNTIF($B$5:$B$104,B11)&gt;1,"不通过：编码重复",IF(COUNTIF($D$5:$D$104,D11)&gt;1,"不通过：排序重复","通过"))))</x:f>
      </x:c>
    </x:row>
    <x:row r="12">
      <x:c r="A12" s="22"/>
      <x:c r="B12" s="22"/>
      <x:c r="C12" s="22"/>
      <x:c r="D12" s="34"/>
      <x:c r="E12" s="22"/>
      <x:c r="F12" s="31"/>
      <x:c r="G12" s="31"/>
      <x:c r="H12" s="22"/>
      <x:c r="I12" s="22"/>
      <x:c r="J12" s="22"/>
      <x:c r="K12" s="28" t="str">
        <x:f>IF(COUNTA(A12:J12)=0,"",IF(OR(A12="",B12="",C12="",D12="",E12="",I12=""),"不通过：缺少必填项",IF(COUNTIF($B$5:$B$104,B12)&gt;1,"不通过：编码重复",IF(COUNTIF($D$5:$D$104,D12)&gt;1,"不通过：排序重复","通过"))))</x:f>
      </x:c>
    </x:row>
    <x:row r="13">
      <x:c r="A13" s="22"/>
      <x:c r="B13" s="22"/>
      <x:c r="C13" s="22"/>
      <x:c r="D13" s="34"/>
      <x:c r="E13" s="22"/>
      <x:c r="F13" s="31"/>
      <x:c r="G13" s="31"/>
      <x:c r="H13" s="22"/>
      <x:c r="I13" s="22"/>
      <x:c r="J13" s="22"/>
      <x:c r="K13" s="28" t="str">
        <x:f>IF(COUNTA(A13:J13)=0,"",IF(OR(A13="",B13="",C13="",D13="",E13="",I13=""),"不通过：缺少必填项",IF(COUNTIF($B$5:$B$104,B13)&gt;1,"不通过：编码重复",IF(COUNTIF($D$5:$D$104,D13)&gt;1,"不通过：排序重复","通过"))))</x:f>
      </x:c>
    </x:row>
    <x:row r="14">
      <x:c r="A14" s="22"/>
      <x:c r="B14" s="22"/>
      <x:c r="C14" s="22"/>
      <x:c r="D14" s="34"/>
      <x:c r="E14" s="22"/>
      <x:c r="F14" s="31"/>
      <x:c r="G14" s="31"/>
      <x:c r="H14" s="22"/>
      <x:c r="I14" s="22"/>
      <x:c r="J14" s="22"/>
      <x:c r="K14" s="28" t="str">
        <x:f>IF(COUNTA(A14:J14)=0,"",IF(OR(A14="",B14="",C14="",D14="",E14="",I14=""),"不通过：缺少必填项",IF(COUNTIF($B$5:$B$104,B14)&gt;1,"不通过：编码重复",IF(COUNTIF($D$5:$D$104,D14)&gt;1,"不通过：排序重复","通过"))))</x:f>
      </x:c>
    </x:row>
    <x:row r="15">
      <x:c r="A15" s="22"/>
      <x:c r="B15" s="22"/>
      <x:c r="C15" s="22"/>
      <x:c r="D15" s="34"/>
      <x:c r="E15" s="22"/>
      <x:c r="F15" s="31"/>
      <x:c r="G15" s="31"/>
      <x:c r="H15" s="22"/>
      <x:c r="I15" s="22"/>
      <x:c r="J15" s="22"/>
      <x:c r="K15" s="28" t="str">
        <x:f>IF(COUNTA(A15:J15)=0,"",IF(OR(A15="",B15="",C15="",D15="",E15="",I15=""),"不通过：缺少必填项",IF(COUNTIF($B$5:$B$104,B15)&gt;1,"不通过：编码重复",IF(COUNTIF($D$5:$D$104,D15)&gt;1,"不通过：排序重复","通过"))))</x:f>
      </x:c>
    </x:row>
    <x:row r="16">
      <x:c r="A16" s="22"/>
      <x:c r="B16" s="22"/>
      <x:c r="C16" s="22"/>
      <x:c r="D16" s="34"/>
      <x:c r="E16" s="22"/>
      <x:c r="F16" s="31"/>
      <x:c r="G16" s="31"/>
      <x:c r="H16" s="22"/>
      <x:c r="I16" s="22"/>
      <x:c r="J16" s="22"/>
      <x:c r="K16" s="28" t="str">
        <x:f>IF(COUNTA(A16:J16)=0,"",IF(OR(A16="",B16="",C16="",D16="",E16="",I16=""),"不通过：缺少必填项",IF(COUNTIF($B$5:$B$104,B16)&gt;1,"不通过：编码重复",IF(COUNTIF($D$5:$D$104,D16)&gt;1,"不通过：排序重复","通过"))))</x:f>
      </x:c>
    </x:row>
    <x:row r="17">
      <x:c r="A17" s="22"/>
      <x:c r="B17" s="22"/>
      <x:c r="C17" s="22"/>
      <x:c r="D17" s="34"/>
      <x:c r="E17" s="22"/>
      <x:c r="F17" s="31"/>
      <x:c r="G17" s="31"/>
      <x:c r="H17" s="22"/>
      <x:c r="I17" s="22"/>
      <x:c r="J17" s="22"/>
      <x:c r="K17" s="28" t="str">
        <x:f>IF(COUNTA(A17:J17)=0,"",IF(OR(A17="",B17="",C17="",D17="",E17="",I17=""),"不通过：缺少必填项",IF(COUNTIF($B$5:$B$104,B17)&gt;1,"不通过：编码重复",IF(COUNTIF($D$5:$D$104,D17)&gt;1,"不通过：排序重复","通过"))))</x:f>
      </x:c>
    </x:row>
    <x:row r="18">
      <x:c r="A18" s="22"/>
      <x:c r="B18" s="22"/>
      <x:c r="C18" s="22"/>
      <x:c r="D18" s="34"/>
      <x:c r="E18" s="22"/>
      <x:c r="F18" s="31"/>
      <x:c r="G18" s="31"/>
      <x:c r="H18" s="22"/>
      <x:c r="I18" s="22"/>
      <x:c r="J18" s="22"/>
      <x:c r="K18" s="28" t="str">
        <x:f>IF(COUNTA(A18:J18)=0,"",IF(OR(A18="",B18="",C18="",D18="",E18="",I18=""),"不通过：缺少必填项",IF(COUNTIF($B$5:$B$104,B18)&gt;1,"不通过：编码重复",IF(COUNTIF($D$5:$D$104,D18)&gt;1,"不通过：排序重复","通过"))))</x:f>
      </x:c>
    </x:row>
    <x:row r="19">
      <x:c r="A19" s="22"/>
      <x:c r="B19" s="22"/>
      <x:c r="C19" s="22"/>
      <x:c r="D19" s="34"/>
      <x:c r="E19" s="22"/>
      <x:c r="F19" s="31"/>
      <x:c r="G19" s="31"/>
      <x:c r="H19" s="22"/>
      <x:c r="I19" s="22"/>
      <x:c r="J19" s="22"/>
      <x:c r="K19" s="28" t="str">
        <x:f>IF(COUNTA(A19:J19)=0,"",IF(OR(A19="",B19="",C19="",D19="",E19="",I19=""),"不通过：缺少必填项",IF(COUNTIF($B$5:$B$104,B19)&gt;1,"不通过：编码重复",IF(COUNTIF($D$5:$D$104,D19)&gt;1,"不通过：排序重复","通过"))))</x:f>
      </x:c>
    </x:row>
    <x:row r="20">
      <x:c r="A20" s="22"/>
      <x:c r="B20" s="22"/>
      <x:c r="C20" s="22"/>
      <x:c r="D20" s="34"/>
      <x:c r="E20" s="22"/>
      <x:c r="F20" s="31"/>
      <x:c r="G20" s="31"/>
      <x:c r="H20" s="22"/>
      <x:c r="I20" s="22"/>
      <x:c r="J20" s="22"/>
      <x:c r="K20" s="28" t="str">
        <x:f>IF(COUNTA(A20:J20)=0,"",IF(OR(A20="",B20="",C20="",D20="",E20="",I20=""),"不通过：缺少必填项",IF(COUNTIF($B$5:$B$104,B20)&gt;1,"不通过：编码重复",IF(COUNTIF($D$5:$D$104,D20)&gt;1,"不通过：排序重复","通过"))))</x:f>
      </x:c>
    </x:row>
    <x:row r="21">
      <x:c r="A21" s="22"/>
      <x:c r="B21" s="22"/>
      <x:c r="C21" s="22"/>
      <x:c r="D21" s="34"/>
      <x:c r="E21" s="22"/>
      <x:c r="F21" s="31"/>
      <x:c r="G21" s="31"/>
      <x:c r="H21" s="22"/>
      <x:c r="I21" s="22"/>
      <x:c r="J21" s="22"/>
      <x:c r="K21" s="28" t="str">
        <x:f>IF(COUNTA(A21:J21)=0,"",IF(OR(A21="",B21="",C21="",D21="",E21="",I21=""),"不通过：缺少必填项",IF(COUNTIF($B$5:$B$104,B21)&gt;1,"不通过：编码重复",IF(COUNTIF($D$5:$D$104,D21)&gt;1,"不通过：排序重复","通过"))))</x:f>
      </x:c>
    </x:row>
    <x:row r="22">
      <x:c r="A22" s="22"/>
      <x:c r="B22" s="22"/>
      <x:c r="C22" s="22"/>
      <x:c r="D22" s="34"/>
      <x:c r="E22" s="22"/>
      <x:c r="F22" s="31"/>
      <x:c r="G22" s="31"/>
      <x:c r="H22" s="22"/>
      <x:c r="I22" s="22"/>
      <x:c r="J22" s="22"/>
      <x:c r="K22" s="28" t="str">
        <x:f>IF(COUNTA(A22:J22)=0,"",IF(OR(A22="",B22="",C22="",D22="",E22="",I22=""),"不通过：缺少必填项",IF(COUNTIF($B$5:$B$104,B22)&gt;1,"不通过：编码重复",IF(COUNTIF($D$5:$D$104,D22)&gt;1,"不通过：排序重复","通过"))))</x:f>
      </x:c>
    </x:row>
    <x:row r="23">
      <x:c r="A23" s="22"/>
      <x:c r="B23" s="22"/>
      <x:c r="C23" s="22"/>
      <x:c r="D23" s="34"/>
      <x:c r="E23" s="22"/>
      <x:c r="F23" s="31"/>
      <x:c r="G23" s="31"/>
      <x:c r="H23" s="22"/>
      <x:c r="I23" s="22"/>
      <x:c r="J23" s="22"/>
      <x:c r="K23" s="28" t="str">
        <x:f>IF(COUNTA(A23:J23)=0,"",IF(OR(A23="",B23="",C23="",D23="",E23="",I23=""),"不通过：缺少必填项",IF(COUNTIF($B$5:$B$104,B23)&gt;1,"不通过：编码重复",IF(COUNTIF($D$5:$D$104,D23)&gt;1,"不通过：排序重复","通过"))))</x:f>
      </x:c>
    </x:row>
    <x:row r="24">
      <x:c r="A24" s="22"/>
      <x:c r="B24" s="22"/>
      <x:c r="C24" s="22"/>
      <x:c r="D24" s="34"/>
      <x:c r="E24" s="22"/>
      <x:c r="F24" s="31"/>
      <x:c r="G24" s="31"/>
      <x:c r="H24" s="22"/>
      <x:c r="I24" s="22"/>
      <x:c r="J24" s="22"/>
      <x:c r="K24" s="28" t="str">
        <x:f>IF(COUNTA(A24:J24)=0,"",IF(OR(A24="",B24="",C24="",D24="",E24="",I24=""),"不通过：缺少必填项",IF(COUNTIF($B$5:$B$104,B24)&gt;1,"不通过：编码重复",IF(COUNTIF($D$5:$D$104,D24)&gt;1,"不通过：排序重复","通过"))))</x:f>
      </x:c>
    </x:row>
    <x:row r="25">
      <x:c r="A25" s="22"/>
      <x:c r="B25" s="22"/>
      <x:c r="C25" s="22"/>
      <x:c r="D25" s="34"/>
      <x:c r="E25" s="22"/>
      <x:c r="F25" s="31"/>
      <x:c r="G25" s="31"/>
      <x:c r="H25" s="22"/>
      <x:c r="I25" s="22"/>
      <x:c r="J25" s="22"/>
      <x:c r="K25" s="28" t="str">
        <x:f>IF(COUNTA(A25:J25)=0,"",IF(OR(A25="",B25="",C25="",D25="",E25="",I25=""),"不通过：缺少必填项",IF(COUNTIF($B$5:$B$104,B25)&gt;1,"不通过：编码重复",IF(COUNTIF($D$5:$D$104,D25)&gt;1,"不通过：排序重复","通过"))))</x:f>
      </x:c>
    </x:row>
    <x:row r="26">
      <x:c r="A26" s="22"/>
      <x:c r="B26" s="22"/>
      <x:c r="C26" s="22"/>
      <x:c r="D26" s="34"/>
      <x:c r="E26" s="22"/>
      <x:c r="F26" s="31"/>
      <x:c r="G26" s="31"/>
      <x:c r="H26" s="22"/>
      <x:c r="I26" s="22"/>
      <x:c r="J26" s="22"/>
      <x:c r="K26" s="28" t="str">
        <x:f>IF(COUNTA(A26:J26)=0,"",IF(OR(A26="",B26="",C26="",D26="",E26="",I26=""),"不通过：缺少必填项",IF(COUNTIF($B$5:$B$104,B26)&gt;1,"不通过：编码重复",IF(COUNTIF($D$5:$D$104,D26)&gt;1,"不通过：排序重复","通过"))))</x:f>
      </x:c>
    </x:row>
    <x:row r="27">
      <x:c r="A27" s="22"/>
      <x:c r="B27" s="22"/>
      <x:c r="C27" s="22"/>
      <x:c r="D27" s="34"/>
      <x:c r="E27" s="22"/>
      <x:c r="F27" s="31"/>
      <x:c r="G27" s="31"/>
      <x:c r="H27" s="22"/>
      <x:c r="I27" s="22"/>
      <x:c r="J27" s="22"/>
      <x:c r="K27" s="28" t="str">
        <x:f>IF(COUNTA(A27:J27)=0,"",IF(OR(A27="",B27="",C27="",D27="",E27="",I27=""),"不通过：缺少必填项",IF(COUNTIF($B$5:$B$104,B27)&gt;1,"不通过：编码重复",IF(COUNTIF($D$5:$D$104,D27)&gt;1,"不通过：排序重复","通过"))))</x:f>
      </x:c>
    </x:row>
    <x:row r="28">
      <x:c r="A28" s="22"/>
      <x:c r="B28" s="22"/>
      <x:c r="C28" s="22"/>
      <x:c r="D28" s="34"/>
      <x:c r="E28" s="22"/>
      <x:c r="F28" s="31"/>
      <x:c r="G28" s="31"/>
      <x:c r="H28" s="22"/>
      <x:c r="I28" s="22"/>
      <x:c r="J28" s="22"/>
      <x:c r="K28" s="28" t="str">
        <x:f>IF(COUNTA(A28:J28)=0,"",IF(OR(A28="",B28="",C28="",D28="",E28="",I28=""),"不通过：缺少必填项",IF(COUNTIF($B$5:$B$104,B28)&gt;1,"不通过：编码重复",IF(COUNTIF($D$5:$D$104,D28)&gt;1,"不通过：排序重复","通过"))))</x:f>
      </x:c>
    </x:row>
    <x:row r="29">
      <x:c r="A29" s="22"/>
      <x:c r="B29" s="22"/>
      <x:c r="C29" s="22"/>
      <x:c r="D29" s="34"/>
      <x:c r="E29" s="22"/>
      <x:c r="F29" s="31"/>
      <x:c r="G29" s="31"/>
      <x:c r="H29" s="22"/>
      <x:c r="I29" s="22"/>
      <x:c r="J29" s="22"/>
      <x:c r="K29" s="28" t="str">
        <x:f>IF(COUNTA(A29:J29)=0,"",IF(OR(A29="",B29="",C29="",D29="",E29="",I29=""),"不通过：缺少必填项",IF(COUNTIF($B$5:$B$104,B29)&gt;1,"不通过：编码重复",IF(COUNTIF($D$5:$D$104,D29)&gt;1,"不通过：排序重复","通过"))))</x:f>
      </x:c>
    </x:row>
    <x:row r="30">
      <x:c r="A30" s="22"/>
      <x:c r="B30" s="22"/>
      <x:c r="C30" s="22"/>
      <x:c r="D30" s="34"/>
      <x:c r="E30" s="22"/>
      <x:c r="F30" s="31"/>
      <x:c r="G30" s="31"/>
      <x:c r="H30" s="22"/>
      <x:c r="I30" s="22"/>
      <x:c r="J30" s="22"/>
      <x:c r="K30" s="28" t="str">
        <x:f>IF(COUNTA(A30:J30)=0,"",IF(OR(A30="",B30="",C30="",D30="",E30="",I30=""),"不通过：缺少必填项",IF(COUNTIF($B$5:$B$104,B30)&gt;1,"不通过：编码重复",IF(COUNTIF($D$5:$D$104,D30)&gt;1,"不通过：排序重复","通过"))))</x:f>
      </x:c>
    </x:row>
    <x:row r="31">
      <x:c r="A31" s="22"/>
      <x:c r="B31" s="22"/>
      <x:c r="C31" s="22"/>
      <x:c r="D31" s="34"/>
      <x:c r="E31" s="22"/>
      <x:c r="F31" s="31"/>
      <x:c r="G31" s="31"/>
      <x:c r="H31" s="22"/>
      <x:c r="I31" s="22"/>
      <x:c r="J31" s="22"/>
      <x:c r="K31" s="28" t="str">
        <x:f>IF(COUNTA(A31:J31)=0,"",IF(OR(A31="",B31="",C31="",D31="",E31="",I31=""),"不通过：缺少必填项",IF(COUNTIF($B$5:$B$104,B31)&gt;1,"不通过：编码重复",IF(COUNTIF($D$5:$D$104,D31)&gt;1,"不通过：排序重复","通过"))))</x:f>
      </x:c>
    </x:row>
    <x:row r="32">
      <x:c r="A32" s="22"/>
      <x:c r="B32" s="22"/>
      <x:c r="C32" s="22"/>
      <x:c r="D32" s="34"/>
      <x:c r="E32" s="22"/>
      <x:c r="F32" s="31"/>
      <x:c r="G32" s="31"/>
      <x:c r="H32" s="22"/>
      <x:c r="I32" s="22"/>
      <x:c r="J32" s="22"/>
      <x:c r="K32" s="28" t="str">
        <x:f>IF(COUNTA(A32:J32)=0,"",IF(OR(A32="",B32="",C32="",D32="",E32="",I32=""),"不通过：缺少必填项",IF(COUNTIF($B$5:$B$104,B32)&gt;1,"不通过：编码重复",IF(COUNTIF($D$5:$D$104,D32)&gt;1,"不通过：排序重复","通过"))))</x:f>
      </x:c>
    </x:row>
    <x:row r="33">
      <x:c r="A33" s="22"/>
      <x:c r="B33" s="22"/>
      <x:c r="C33" s="22"/>
      <x:c r="D33" s="34"/>
      <x:c r="E33" s="22"/>
      <x:c r="F33" s="31"/>
      <x:c r="G33" s="31"/>
      <x:c r="H33" s="22"/>
      <x:c r="I33" s="22"/>
      <x:c r="J33" s="22"/>
      <x:c r="K33" s="28" t="str">
        <x:f>IF(COUNTA(A33:J33)=0,"",IF(OR(A33="",B33="",C33="",D33="",E33="",I33=""),"不通过：缺少必填项",IF(COUNTIF($B$5:$B$104,B33)&gt;1,"不通过：编码重复",IF(COUNTIF($D$5:$D$104,D33)&gt;1,"不通过：排序重复","通过"))))</x:f>
      </x:c>
    </x:row>
    <x:row r="34">
      <x:c r="A34" s="22"/>
      <x:c r="B34" s="22"/>
      <x:c r="C34" s="22"/>
      <x:c r="D34" s="34"/>
      <x:c r="E34" s="22"/>
      <x:c r="F34" s="31"/>
      <x:c r="G34" s="31"/>
      <x:c r="H34" s="22"/>
      <x:c r="I34" s="22"/>
      <x:c r="J34" s="22"/>
      <x:c r="K34" s="28" t="str">
        <x:f>IF(COUNTA(A34:J34)=0,"",IF(OR(A34="",B34="",C34="",D34="",E34="",I34=""),"不通过：缺少必填项",IF(COUNTIF($B$5:$B$104,B34)&gt;1,"不通过：编码重复",IF(COUNTIF($D$5:$D$104,D34)&gt;1,"不通过：排序重复","通过"))))</x:f>
      </x:c>
    </x:row>
    <x:row r="35">
      <x:c r="A35" s="22"/>
      <x:c r="B35" s="22"/>
      <x:c r="C35" s="22"/>
      <x:c r="D35" s="34"/>
      <x:c r="E35" s="22"/>
      <x:c r="F35" s="31"/>
      <x:c r="G35" s="31"/>
      <x:c r="H35" s="22"/>
      <x:c r="I35" s="22"/>
      <x:c r="J35" s="22"/>
      <x:c r="K35" s="28" t="str">
        <x:f>IF(COUNTA(A35:J35)=0,"",IF(OR(A35="",B35="",C35="",D35="",E35="",I35=""),"不通过：缺少必填项",IF(COUNTIF($B$5:$B$104,B35)&gt;1,"不通过：编码重复",IF(COUNTIF($D$5:$D$104,D35)&gt;1,"不通过：排序重复","通过"))))</x:f>
      </x:c>
    </x:row>
    <x:row r="36">
      <x:c r="A36" s="22"/>
      <x:c r="B36" s="22"/>
      <x:c r="C36" s="22"/>
      <x:c r="D36" s="34"/>
      <x:c r="E36" s="22"/>
      <x:c r="F36" s="31"/>
      <x:c r="G36" s="31"/>
      <x:c r="H36" s="22"/>
      <x:c r="I36" s="22"/>
      <x:c r="J36" s="22"/>
      <x:c r="K36" s="28" t="str">
        <x:f>IF(COUNTA(A36:J36)=0,"",IF(OR(A36="",B36="",C36="",D36="",E36="",I36=""),"不通过：缺少必填项",IF(COUNTIF($B$5:$B$104,B36)&gt;1,"不通过：编码重复",IF(COUNTIF($D$5:$D$104,D36)&gt;1,"不通过：排序重复","通过"))))</x:f>
      </x:c>
    </x:row>
    <x:row r="37">
      <x:c r="A37" s="22"/>
      <x:c r="B37" s="22"/>
      <x:c r="C37" s="22"/>
      <x:c r="D37" s="34"/>
      <x:c r="E37" s="22"/>
      <x:c r="F37" s="31"/>
      <x:c r="G37" s="31"/>
      <x:c r="H37" s="22"/>
      <x:c r="I37" s="22"/>
      <x:c r="J37" s="22"/>
      <x:c r="K37" s="28" t="str">
        <x:f>IF(COUNTA(A37:J37)=0,"",IF(OR(A37="",B37="",C37="",D37="",E37="",I37=""),"不通过：缺少必填项",IF(COUNTIF($B$5:$B$104,B37)&gt;1,"不通过：编码重复",IF(COUNTIF($D$5:$D$104,D37)&gt;1,"不通过：排序重复","通过"))))</x:f>
      </x:c>
    </x:row>
    <x:row r="38">
      <x:c r="A38" s="22"/>
      <x:c r="B38" s="22"/>
      <x:c r="C38" s="22"/>
      <x:c r="D38" s="34"/>
      <x:c r="E38" s="22"/>
      <x:c r="F38" s="31"/>
      <x:c r="G38" s="31"/>
      <x:c r="H38" s="22"/>
      <x:c r="I38" s="22"/>
      <x:c r="J38" s="22"/>
      <x:c r="K38" s="28" t="str">
        <x:f>IF(COUNTA(A38:J38)=0,"",IF(OR(A38="",B38="",C38="",D38="",E38="",I38=""),"不通过：缺少必填项",IF(COUNTIF($B$5:$B$104,B38)&gt;1,"不通过：编码重复",IF(COUNTIF($D$5:$D$104,D38)&gt;1,"不通过：排序重复","通过"))))</x:f>
      </x:c>
    </x:row>
    <x:row r="39">
      <x:c r="A39" s="22"/>
      <x:c r="B39" s="22"/>
      <x:c r="C39" s="22"/>
      <x:c r="D39" s="34"/>
      <x:c r="E39" s="22"/>
      <x:c r="F39" s="31"/>
      <x:c r="G39" s="31"/>
      <x:c r="H39" s="22"/>
      <x:c r="I39" s="22"/>
      <x:c r="J39" s="22"/>
      <x:c r="K39" s="28" t="str">
        <x:f>IF(COUNTA(A39:J39)=0,"",IF(OR(A39="",B39="",C39="",D39="",E39="",I39=""),"不通过：缺少必填项",IF(COUNTIF($B$5:$B$104,B39)&gt;1,"不通过：编码重复",IF(COUNTIF($D$5:$D$104,D39)&gt;1,"不通过：排序重复","通过"))))</x:f>
      </x:c>
    </x:row>
    <x:row r="40">
      <x:c r="A40" s="22"/>
      <x:c r="B40" s="22"/>
      <x:c r="C40" s="22"/>
      <x:c r="D40" s="34"/>
      <x:c r="E40" s="22"/>
      <x:c r="F40" s="31"/>
      <x:c r="G40" s="31"/>
      <x:c r="H40" s="22"/>
      <x:c r="I40" s="22"/>
      <x:c r="J40" s="22"/>
      <x:c r="K40" s="28" t="str">
        <x:f>IF(COUNTA(A40:J40)=0,"",IF(OR(A40="",B40="",C40="",D40="",E40="",I40=""),"不通过：缺少必填项",IF(COUNTIF($B$5:$B$104,B40)&gt;1,"不通过：编码重复",IF(COUNTIF($D$5:$D$104,D40)&gt;1,"不通过：排序重复","通过"))))</x:f>
      </x:c>
    </x:row>
    <x:row r="41">
      <x:c r="A41" s="22"/>
      <x:c r="B41" s="22"/>
      <x:c r="C41" s="22"/>
      <x:c r="D41" s="34"/>
      <x:c r="E41" s="22"/>
      <x:c r="F41" s="31"/>
      <x:c r="G41" s="31"/>
      <x:c r="H41" s="22"/>
      <x:c r="I41" s="22"/>
      <x:c r="J41" s="22"/>
      <x:c r="K41" s="28" t="str">
        <x:f>IF(COUNTA(A41:J41)=0,"",IF(OR(A41="",B41="",C41="",D41="",E41="",I41=""),"不通过：缺少必填项",IF(COUNTIF($B$5:$B$104,B41)&gt;1,"不通过：编码重复",IF(COUNTIF($D$5:$D$104,D41)&gt;1,"不通过：排序重复","通过"))))</x:f>
      </x:c>
    </x:row>
    <x:row r="42">
      <x:c r="A42" s="22"/>
      <x:c r="B42" s="22"/>
      <x:c r="C42" s="22"/>
      <x:c r="D42" s="34"/>
      <x:c r="E42" s="22"/>
      <x:c r="F42" s="31"/>
      <x:c r="G42" s="31"/>
      <x:c r="H42" s="22"/>
      <x:c r="I42" s="22"/>
      <x:c r="J42" s="22"/>
      <x:c r="K42" s="28" t="str">
        <x:f>IF(COUNTA(A42:J42)=0,"",IF(OR(A42="",B42="",C42="",D42="",E42="",I42=""),"不通过：缺少必填项",IF(COUNTIF($B$5:$B$104,B42)&gt;1,"不通过：编码重复",IF(COUNTIF($D$5:$D$104,D42)&gt;1,"不通过：排序重复","通过"))))</x:f>
      </x:c>
    </x:row>
    <x:row r="43">
      <x:c r="A43" s="22"/>
      <x:c r="B43" s="22"/>
      <x:c r="C43" s="22"/>
      <x:c r="D43" s="34"/>
      <x:c r="E43" s="22"/>
      <x:c r="F43" s="31"/>
      <x:c r="G43" s="31"/>
      <x:c r="H43" s="22"/>
      <x:c r="I43" s="22"/>
      <x:c r="J43" s="22"/>
      <x:c r="K43" s="28" t="str">
        <x:f>IF(COUNTA(A43:J43)=0,"",IF(OR(A43="",B43="",C43="",D43="",E43="",I43=""),"不通过：缺少必填项",IF(COUNTIF($B$5:$B$104,B43)&gt;1,"不通过：编码重复",IF(COUNTIF($D$5:$D$104,D43)&gt;1,"不通过：排序重复","通过"))))</x:f>
      </x:c>
    </x:row>
    <x:row r="44">
      <x:c r="A44" s="22"/>
      <x:c r="B44" s="22"/>
      <x:c r="C44" s="22"/>
      <x:c r="D44" s="34"/>
      <x:c r="E44" s="22"/>
      <x:c r="F44" s="31"/>
      <x:c r="G44" s="31"/>
      <x:c r="H44" s="22"/>
      <x:c r="I44" s="22"/>
      <x:c r="J44" s="22"/>
      <x:c r="K44" s="28" t="str">
        <x:f>IF(COUNTA(A44:J44)=0,"",IF(OR(A44="",B44="",C44="",D44="",E44="",I44=""),"不通过：缺少必填项",IF(COUNTIF($B$5:$B$104,B44)&gt;1,"不通过：编码重复",IF(COUNTIF($D$5:$D$104,D44)&gt;1,"不通过：排序重复","通过"))))</x:f>
      </x:c>
    </x:row>
    <x:row r="45">
      <x:c r="A45" s="22"/>
      <x:c r="B45" s="22"/>
      <x:c r="C45" s="22"/>
      <x:c r="D45" s="34"/>
      <x:c r="E45" s="22"/>
      <x:c r="F45" s="31"/>
      <x:c r="G45" s="31"/>
      <x:c r="H45" s="22"/>
      <x:c r="I45" s="22"/>
      <x:c r="J45" s="22"/>
      <x:c r="K45" s="28" t="str">
        <x:f>IF(COUNTA(A45:J45)=0,"",IF(OR(A45="",B45="",C45="",D45="",E45="",I45=""),"不通过：缺少必填项",IF(COUNTIF($B$5:$B$104,B45)&gt;1,"不通过：编码重复",IF(COUNTIF($D$5:$D$104,D45)&gt;1,"不通过：排序重复","通过"))))</x:f>
      </x:c>
    </x:row>
    <x:row r="46">
      <x:c r="A46" s="22"/>
      <x:c r="B46" s="22"/>
      <x:c r="C46" s="22"/>
      <x:c r="D46" s="34"/>
      <x:c r="E46" s="22"/>
      <x:c r="F46" s="31"/>
      <x:c r="G46" s="31"/>
      <x:c r="H46" s="22"/>
      <x:c r="I46" s="22"/>
      <x:c r="J46" s="22"/>
      <x:c r="K46" s="28" t="str">
        <x:f>IF(COUNTA(A46:J46)=0,"",IF(OR(A46="",B46="",C46="",D46="",E46="",I46=""),"不通过：缺少必填项",IF(COUNTIF($B$5:$B$104,B46)&gt;1,"不通过：编码重复",IF(COUNTIF($D$5:$D$104,D46)&gt;1,"不通过：排序重复","通过"))))</x:f>
      </x:c>
    </x:row>
    <x:row r="47">
      <x:c r="A47" s="22"/>
      <x:c r="B47" s="22"/>
      <x:c r="C47" s="22"/>
      <x:c r="D47" s="34"/>
      <x:c r="E47" s="22"/>
      <x:c r="F47" s="31"/>
      <x:c r="G47" s="31"/>
      <x:c r="H47" s="22"/>
      <x:c r="I47" s="22"/>
      <x:c r="J47" s="22"/>
      <x:c r="K47" s="28" t="str">
        <x:f>IF(COUNTA(A47:J47)=0,"",IF(OR(A47="",B47="",C47="",D47="",E47="",I47=""),"不通过：缺少必填项",IF(COUNTIF($B$5:$B$104,B47)&gt;1,"不通过：编码重复",IF(COUNTIF($D$5:$D$104,D47)&gt;1,"不通过：排序重复","通过"))))</x:f>
      </x:c>
    </x:row>
    <x:row r="48">
      <x:c r="A48" s="22"/>
      <x:c r="B48" s="22"/>
      <x:c r="C48" s="22"/>
      <x:c r="D48" s="34"/>
      <x:c r="E48" s="22"/>
      <x:c r="F48" s="31"/>
      <x:c r="G48" s="31"/>
      <x:c r="H48" s="22"/>
      <x:c r="I48" s="22"/>
      <x:c r="J48" s="22"/>
      <x:c r="K48" s="28" t="str">
        <x:f>IF(COUNTA(A48:J48)=0,"",IF(OR(A48="",B48="",C48="",D48="",E48="",I48=""),"不通过：缺少必填项",IF(COUNTIF($B$5:$B$104,B48)&gt;1,"不通过：编码重复",IF(COUNTIF($D$5:$D$104,D48)&gt;1,"不通过：排序重复","通过"))))</x:f>
      </x:c>
    </x:row>
    <x:row r="49">
      <x:c r="A49" s="22"/>
      <x:c r="B49" s="22"/>
      <x:c r="C49" s="22"/>
      <x:c r="D49" s="34"/>
      <x:c r="E49" s="22"/>
      <x:c r="F49" s="31"/>
      <x:c r="G49" s="31"/>
      <x:c r="H49" s="22"/>
      <x:c r="I49" s="22"/>
      <x:c r="J49" s="22"/>
      <x:c r="K49" s="28" t="str">
        <x:f>IF(COUNTA(A49:J49)=0,"",IF(OR(A49="",B49="",C49="",D49="",E49="",I49=""),"不通过：缺少必填项",IF(COUNTIF($B$5:$B$104,B49)&gt;1,"不通过：编码重复",IF(COUNTIF($D$5:$D$104,D49)&gt;1,"不通过：排序重复","通过"))))</x:f>
      </x:c>
    </x:row>
    <x:row r="50">
      <x:c r="A50" s="22"/>
      <x:c r="B50" s="22"/>
      <x:c r="C50" s="22"/>
      <x:c r="D50" s="34"/>
      <x:c r="E50" s="22"/>
      <x:c r="F50" s="31"/>
      <x:c r="G50" s="31"/>
      <x:c r="H50" s="22"/>
      <x:c r="I50" s="22"/>
      <x:c r="J50" s="22"/>
      <x:c r="K50" s="28" t="str">
        <x:f>IF(COUNTA(A50:J50)=0,"",IF(OR(A50="",B50="",C50="",D50="",E50="",I50=""),"不通过：缺少必填项",IF(COUNTIF($B$5:$B$104,B50)&gt;1,"不通过：编码重复",IF(COUNTIF($D$5:$D$104,D50)&gt;1,"不通过：排序重复","通过"))))</x:f>
      </x:c>
    </x:row>
    <x:row r="51">
      <x:c r="A51" s="22"/>
      <x:c r="B51" s="22"/>
      <x:c r="C51" s="22"/>
      <x:c r="D51" s="34"/>
      <x:c r="E51" s="22"/>
      <x:c r="F51" s="31"/>
      <x:c r="G51" s="31"/>
      <x:c r="H51" s="22"/>
      <x:c r="I51" s="22"/>
      <x:c r="J51" s="22"/>
      <x:c r="K51" s="28" t="str">
        <x:f>IF(COUNTA(A51:J51)=0,"",IF(OR(A51="",B51="",C51="",D51="",E51="",I51=""),"不通过：缺少必填项",IF(COUNTIF($B$5:$B$104,B51)&gt;1,"不通过：编码重复",IF(COUNTIF($D$5:$D$104,D51)&gt;1,"不通过：排序重复","通过"))))</x:f>
      </x:c>
    </x:row>
    <x:row r="52">
      <x:c r="A52" s="22"/>
      <x:c r="B52" s="22"/>
      <x:c r="C52" s="22"/>
      <x:c r="D52" s="34"/>
      <x:c r="E52" s="22"/>
      <x:c r="F52" s="31"/>
      <x:c r="G52" s="31"/>
      <x:c r="H52" s="22"/>
      <x:c r="I52" s="22"/>
      <x:c r="J52" s="22"/>
      <x:c r="K52" s="28" t="str">
        <x:f>IF(COUNTA(A52:J52)=0,"",IF(OR(A52="",B52="",C52="",D52="",E52="",I52=""),"不通过：缺少必填项",IF(COUNTIF($B$5:$B$104,B52)&gt;1,"不通过：编码重复",IF(COUNTIF($D$5:$D$104,D52)&gt;1,"不通过：排序重复","通过"))))</x:f>
      </x:c>
    </x:row>
    <x:row r="53">
      <x:c r="A53" s="22"/>
      <x:c r="B53" s="22"/>
      <x:c r="C53" s="22"/>
      <x:c r="D53" s="34"/>
      <x:c r="E53" s="22"/>
      <x:c r="F53" s="31"/>
      <x:c r="G53" s="31"/>
      <x:c r="H53" s="22"/>
      <x:c r="I53" s="22"/>
      <x:c r="J53" s="22"/>
      <x:c r="K53" s="28" t="str">
        <x:f>IF(COUNTA(A53:J53)=0,"",IF(OR(A53="",B53="",C53="",D53="",E53="",I53=""),"不通过：缺少必填项",IF(COUNTIF($B$5:$B$104,B53)&gt;1,"不通过：编码重复",IF(COUNTIF($D$5:$D$104,D53)&gt;1,"不通过：排序重复","通过"))))</x:f>
      </x:c>
    </x:row>
    <x:row r="54">
      <x:c r="A54" s="22"/>
      <x:c r="B54" s="22"/>
      <x:c r="C54" s="22"/>
      <x:c r="D54" s="34"/>
      <x:c r="E54" s="22"/>
      <x:c r="F54" s="31"/>
      <x:c r="G54" s="31"/>
      <x:c r="H54" s="22"/>
      <x:c r="I54" s="22"/>
      <x:c r="J54" s="22"/>
      <x:c r="K54" s="28" t="str">
        <x:f>IF(COUNTA(A54:J54)=0,"",IF(OR(A54="",B54="",C54="",D54="",E54="",I54=""),"不通过：缺少必填项",IF(COUNTIF($B$5:$B$104,B54)&gt;1,"不通过：编码重复",IF(COUNTIF($D$5:$D$104,D54)&gt;1,"不通过：排序重复","通过"))))</x:f>
      </x:c>
    </x:row>
    <x:row r="55">
      <x:c r="A55" s="22"/>
      <x:c r="B55" s="22"/>
      <x:c r="C55" s="22"/>
      <x:c r="D55" s="34"/>
      <x:c r="E55" s="22"/>
      <x:c r="F55" s="31"/>
      <x:c r="G55" s="31"/>
      <x:c r="H55" s="22"/>
      <x:c r="I55" s="22"/>
      <x:c r="J55" s="22"/>
      <x:c r="K55" s="28" t="str">
        <x:f>IF(COUNTA(A55:J55)=0,"",IF(OR(A55="",B55="",C55="",D55="",E55="",I55=""),"不通过：缺少必填项",IF(COUNTIF($B$5:$B$104,B55)&gt;1,"不通过：编码重复",IF(COUNTIF($D$5:$D$104,D55)&gt;1,"不通过：排序重复","通过"))))</x:f>
      </x:c>
    </x:row>
    <x:row r="56">
      <x:c r="A56" s="22"/>
      <x:c r="B56" s="22"/>
      <x:c r="C56" s="22"/>
      <x:c r="D56" s="34"/>
      <x:c r="E56" s="22"/>
      <x:c r="F56" s="31"/>
      <x:c r="G56" s="31"/>
      <x:c r="H56" s="22"/>
      <x:c r="I56" s="22"/>
      <x:c r="J56" s="22"/>
      <x:c r="K56" s="28" t="str">
        <x:f>IF(COUNTA(A56:J56)=0,"",IF(OR(A56="",B56="",C56="",D56="",E56="",I56=""),"不通过：缺少必填项",IF(COUNTIF($B$5:$B$104,B56)&gt;1,"不通过：编码重复",IF(COUNTIF($D$5:$D$104,D56)&gt;1,"不通过：排序重复","通过"))))</x:f>
      </x:c>
    </x:row>
    <x:row r="57">
      <x:c r="A57" s="22"/>
      <x:c r="B57" s="22"/>
      <x:c r="C57" s="22"/>
      <x:c r="D57" s="34"/>
      <x:c r="E57" s="22"/>
      <x:c r="F57" s="31"/>
      <x:c r="G57" s="31"/>
      <x:c r="H57" s="22"/>
      <x:c r="I57" s="22"/>
      <x:c r="J57" s="22"/>
      <x:c r="K57" s="28" t="str">
        <x:f>IF(COUNTA(A57:J57)=0,"",IF(OR(A57="",B57="",C57="",D57="",E57="",I57=""),"不通过：缺少必填项",IF(COUNTIF($B$5:$B$104,B57)&gt;1,"不通过：编码重复",IF(COUNTIF($D$5:$D$104,D57)&gt;1,"不通过：排序重复","通过"))))</x:f>
      </x:c>
    </x:row>
    <x:row r="58">
      <x:c r="A58" s="22"/>
      <x:c r="B58" s="22"/>
      <x:c r="C58" s="22"/>
      <x:c r="D58" s="34"/>
      <x:c r="E58" s="22"/>
      <x:c r="F58" s="31"/>
      <x:c r="G58" s="31"/>
      <x:c r="H58" s="22"/>
      <x:c r="I58" s="22"/>
      <x:c r="J58" s="22"/>
      <x:c r="K58" s="28" t="str">
        <x:f>IF(COUNTA(A58:J58)=0,"",IF(OR(A58="",B58="",C58="",D58="",E58="",I58=""),"不通过：缺少必填项",IF(COUNTIF($B$5:$B$104,B58)&gt;1,"不通过：编码重复",IF(COUNTIF($D$5:$D$104,D58)&gt;1,"不通过：排序重复","通过"))))</x:f>
      </x:c>
    </x:row>
    <x:row r="59">
      <x:c r="A59" s="22"/>
      <x:c r="B59" s="22"/>
      <x:c r="C59" s="22"/>
      <x:c r="D59" s="34"/>
      <x:c r="E59" s="22"/>
      <x:c r="F59" s="31"/>
      <x:c r="G59" s="31"/>
      <x:c r="H59" s="22"/>
      <x:c r="I59" s="22"/>
      <x:c r="J59" s="22"/>
      <x:c r="K59" s="28" t="str">
        <x:f>IF(COUNTA(A59:J59)=0,"",IF(OR(A59="",B59="",C59="",D59="",E59="",I59=""),"不通过：缺少必填项",IF(COUNTIF($B$5:$B$104,B59)&gt;1,"不通过：编码重复",IF(COUNTIF($D$5:$D$104,D59)&gt;1,"不通过：排序重复","通过"))))</x:f>
      </x:c>
    </x:row>
    <x:row r="60">
      <x:c r="A60" s="22"/>
      <x:c r="B60" s="22"/>
      <x:c r="C60" s="22"/>
      <x:c r="D60" s="34"/>
      <x:c r="E60" s="22"/>
      <x:c r="F60" s="31"/>
      <x:c r="G60" s="31"/>
      <x:c r="H60" s="22"/>
      <x:c r="I60" s="22"/>
      <x:c r="J60" s="22"/>
      <x:c r="K60" s="28" t="str">
        <x:f>IF(COUNTA(A60:J60)=0,"",IF(OR(A60="",B60="",C60="",D60="",E60="",I60=""),"不通过：缺少必填项",IF(COUNTIF($B$5:$B$104,B60)&gt;1,"不通过：编码重复",IF(COUNTIF($D$5:$D$104,D60)&gt;1,"不通过：排序重复","通过"))))</x:f>
      </x:c>
    </x:row>
    <x:row r="61">
      <x:c r="A61" s="22"/>
      <x:c r="B61" s="22"/>
      <x:c r="C61" s="22"/>
      <x:c r="D61" s="34"/>
      <x:c r="E61" s="22"/>
      <x:c r="F61" s="31"/>
      <x:c r="G61" s="31"/>
      <x:c r="H61" s="22"/>
      <x:c r="I61" s="22"/>
      <x:c r="J61" s="22"/>
      <x:c r="K61" s="28" t="str">
        <x:f>IF(COUNTA(A61:J61)=0,"",IF(OR(A61="",B61="",C61="",D61="",E61="",I61=""),"不通过：缺少必填项",IF(COUNTIF($B$5:$B$104,B61)&gt;1,"不通过：编码重复",IF(COUNTIF($D$5:$D$104,D61)&gt;1,"不通过：排序重复","通过"))))</x:f>
      </x:c>
    </x:row>
    <x:row r="62">
      <x:c r="A62" s="22"/>
      <x:c r="B62" s="22"/>
      <x:c r="C62" s="22"/>
      <x:c r="D62" s="34"/>
      <x:c r="E62" s="22"/>
      <x:c r="F62" s="31"/>
      <x:c r="G62" s="31"/>
      <x:c r="H62" s="22"/>
      <x:c r="I62" s="22"/>
      <x:c r="J62" s="22"/>
      <x:c r="K62" s="28" t="str">
        <x:f>IF(COUNTA(A62:J62)=0,"",IF(OR(A62="",B62="",C62="",D62="",E62="",I62=""),"不通过：缺少必填项",IF(COUNTIF($B$5:$B$104,B62)&gt;1,"不通过：编码重复",IF(COUNTIF($D$5:$D$104,D62)&gt;1,"不通过：排序重复","通过"))))</x:f>
      </x:c>
    </x:row>
    <x:row r="63">
      <x:c r="A63" s="22"/>
      <x:c r="B63" s="22"/>
      <x:c r="C63" s="22"/>
      <x:c r="D63" s="34"/>
      <x:c r="E63" s="22"/>
      <x:c r="F63" s="31"/>
      <x:c r="G63" s="31"/>
      <x:c r="H63" s="22"/>
      <x:c r="I63" s="22"/>
      <x:c r="J63" s="22"/>
      <x:c r="K63" s="28" t="str">
        <x:f>IF(COUNTA(A63:J63)=0,"",IF(OR(A63="",B63="",C63="",D63="",E63="",I63=""),"不通过：缺少必填项",IF(COUNTIF($B$5:$B$104,B63)&gt;1,"不通过：编码重复",IF(COUNTIF($D$5:$D$104,D63)&gt;1,"不通过：排序重复","通过"))))</x:f>
      </x:c>
    </x:row>
    <x:row r="64">
      <x:c r="A64" s="22"/>
      <x:c r="B64" s="22"/>
      <x:c r="C64" s="22"/>
      <x:c r="D64" s="34"/>
      <x:c r="E64" s="22"/>
      <x:c r="F64" s="31"/>
      <x:c r="G64" s="31"/>
      <x:c r="H64" s="22"/>
      <x:c r="I64" s="22"/>
      <x:c r="J64" s="22"/>
      <x:c r="K64" s="28" t="str">
        <x:f>IF(COUNTA(A64:J64)=0,"",IF(OR(A64="",B64="",C64="",D64="",E64="",I64=""),"不通过：缺少必填项",IF(COUNTIF($B$5:$B$104,B64)&gt;1,"不通过：编码重复",IF(COUNTIF($D$5:$D$104,D64)&gt;1,"不通过：排序重复","通过"))))</x:f>
      </x:c>
    </x:row>
    <x:row r="65">
      <x:c r="A65" s="22"/>
      <x:c r="B65" s="22"/>
      <x:c r="C65" s="22"/>
      <x:c r="D65" s="34"/>
      <x:c r="E65" s="22"/>
      <x:c r="F65" s="31"/>
      <x:c r="G65" s="31"/>
      <x:c r="H65" s="22"/>
      <x:c r="I65" s="22"/>
      <x:c r="J65" s="22"/>
      <x:c r="K65" s="28" t="str">
        <x:f>IF(COUNTA(A65:J65)=0,"",IF(OR(A65="",B65="",C65="",D65="",E65="",I65=""),"不通过：缺少必填项",IF(COUNTIF($B$5:$B$104,B65)&gt;1,"不通过：编码重复",IF(COUNTIF($D$5:$D$104,D65)&gt;1,"不通过：排序重复","通过"))))</x:f>
      </x:c>
    </x:row>
    <x:row r="66">
      <x:c r="A66" s="22"/>
      <x:c r="B66" s="22"/>
      <x:c r="C66" s="22"/>
      <x:c r="D66" s="34"/>
      <x:c r="E66" s="22"/>
      <x:c r="F66" s="31"/>
      <x:c r="G66" s="31"/>
      <x:c r="H66" s="22"/>
      <x:c r="I66" s="22"/>
      <x:c r="J66" s="22"/>
      <x:c r="K66" s="28" t="str">
        <x:f>IF(COUNTA(A66:J66)=0,"",IF(OR(A66="",B66="",C66="",D66="",E66="",I66=""),"不通过：缺少必填项",IF(COUNTIF($B$5:$B$104,B66)&gt;1,"不通过：编码重复",IF(COUNTIF($D$5:$D$104,D66)&gt;1,"不通过：排序重复","通过"))))</x:f>
      </x:c>
    </x:row>
    <x:row r="67">
      <x:c r="A67" s="22"/>
      <x:c r="B67" s="22"/>
      <x:c r="C67" s="22"/>
      <x:c r="D67" s="34"/>
      <x:c r="E67" s="22"/>
      <x:c r="F67" s="31"/>
      <x:c r="G67" s="31"/>
      <x:c r="H67" s="22"/>
      <x:c r="I67" s="22"/>
      <x:c r="J67" s="22"/>
      <x:c r="K67" s="28" t="str">
        <x:f>IF(COUNTA(A67:J67)=0,"",IF(OR(A67="",B67="",C67="",D67="",E67="",I67=""),"不通过：缺少必填项",IF(COUNTIF($B$5:$B$104,B67)&gt;1,"不通过：编码重复",IF(COUNTIF($D$5:$D$104,D67)&gt;1,"不通过：排序重复","通过"))))</x:f>
      </x:c>
    </x:row>
    <x:row r="68">
      <x:c r="A68" s="22"/>
      <x:c r="B68" s="22"/>
      <x:c r="C68" s="22"/>
      <x:c r="D68" s="34"/>
      <x:c r="E68" s="22"/>
      <x:c r="F68" s="31"/>
      <x:c r="G68" s="31"/>
      <x:c r="H68" s="22"/>
      <x:c r="I68" s="22"/>
      <x:c r="J68" s="22"/>
      <x:c r="K68" s="28" t="str">
        <x:f>IF(COUNTA(A68:J68)=0,"",IF(OR(A68="",B68="",C68="",D68="",E68="",I68=""),"不通过：缺少必填项",IF(COUNTIF($B$5:$B$104,B68)&gt;1,"不通过：编码重复",IF(COUNTIF($D$5:$D$104,D68)&gt;1,"不通过：排序重复","通过"))))</x:f>
      </x:c>
    </x:row>
    <x:row r="69">
      <x:c r="A69" s="22"/>
      <x:c r="B69" s="22"/>
      <x:c r="C69" s="22"/>
      <x:c r="D69" s="34"/>
      <x:c r="E69" s="22"/>
      <x:c r="F69" s="31"/>
      <x:c r="G69" s="31"/>
      <x:c r="H69" s="22"/>
      <x:c r="I69" s="22"/>
      <x:c r="J69" s="22"/>
      <x:c r="K69" s="28" t="str">
        <x:f>IF(COUNTA(A69:J69)=0,"",IF(OR(A69="",B69="",C69="",D69="",E69="",I69=""),"不通过：缺少必填项",IF(COUNTIF($B$5:$B$104,B69)&gt;1,"不通过：编码重复",IF(COUNTIF($D$5:$D$104,D69)&gt;1,"不通过：排序重复","通过"))))</x:f>
      </x:c>
    </x:row>
    <x:row r="70">
      <x:c r="A70" s="22"/>
      <x:c r="B70" s="22"/>
      <x:c r="C70" s="22"/>
      <x:c r="D70" s="34"/>
      <x:c r="E70" s="22"/>
      <x:c r="F70" s="31"/>
      <x:c r="G70" s="31"/>
      <x:c r="H70" s="22"/>
      <x:c r="I70" s="22"/>
      <x:c r="J70" s="22"/>
      <x:c r="K70" s="28" t="str">
        <x:f>IF(COUNTA(A70:J70)=0,"",IF(OR(A70="",B70="",C70="",D70="",E70="",I70=""),"不通过：缺少必填项",IF(COUNTIF($B$5:$B$104,B70)&gt;1,"不通过：编码重复",IF(COUNTIF($D$5:$D$104,D70)&gt;1,"不通过：排序重复","通过"))))</x:f>
      </x:c>
    </x:row>
    <x:row r="71">
      <x:c r="A71" s="22"/>
      <x:c r="B71" s="22"/>
      <x:c r="C71" s="22"/>
      <x:c r="D71" s="34"/>
      <x:c r="E71" s="22"/>
      <x:c r="F71" s="31"/>
      <x:c r="G71" s="31"/>
      <x:c r="H71" s="22"/>
      <x:c r="I71" s="22"/>
      <x:c r="J71" s="22"/>
      <x:c r="K71" s="28" t="str">
        <x:f>IF(COUNTA(A71:J71)=0,"",IF(OR(A71="",B71="",C71="",D71="",E71="",I71=""),"不通过：缺少必填项",IF(COUNTIF($B$5:$B$104,B71)&gt;1,"不通过：编码重复",IF(COUNTIF($D$5:$D$104,D71)&gt;1,"不通过：排序重复","通过"))))</x:f>
      </x:c>
    </x:row>
    <x:row r="72">
      <x:c r="A72" s="22"/>
      <x:c r="B72" s="22"/>
      <x:c r="C72" s="22"/>
      <x:c r="D72" s="34"/>
      <x:c r="E72" s="22"/>
      <x:c r="F72" s="31"/>
      <x:c r="G72" s="31"/>
      <x:c r="H72" s="22"/>
      <x:c r="I72" s="22"/>
      <x:c r="J72" s="22"/>
      <x:c r="K72" s="28" t="str">
        <x:f>IF(COUNTA(A72:J72)=0,"",IF(OR(A72="",B72="",C72="",D72="",E72="",I72=""),"不通过：缺少必填项",IF(COUNTIF($B$5:$B$104,B72)&gt;1,"不通过：编码重复",IF(COUNTIF($D$5:$D$104,D72)&gt;1,"不通过：排序重复","通过"))))</x:f>
      </x:c>
    </x:row>
    <x:row r="73">
      <x:c r="A73" s="22"/>
      <x:c r="B73" s="22"/>
      <x:c r="C73" s="22"/>
      <x:c r="D73" s="34"/>
      <x:c r="E73" s="22"/>
      <x:c r="F73" s="31"/>
      <x:c r="G73" s="31"/>
      <x:c r="H73" s="22"/>
      <x:c r="I73" s="22"/>
      <x:c r="J73" s="22"/>
      <x:c r="K73" s="28" t="str">
        <x:f>IF(COUNTA(A73:J73)=0,"",IF(OR(A73="",B73="",C73="",D73="",E73="",I73=""),"不通过：缺少必填项",IF(COUNTIF($B$5:$B$104,B73)&gt;1,"不通过：编码重复",IF(COUNTIF($D$5:$D$104,D73)&gt;1,"不通过：排序重复","通过"))))</x:f>
      </x:c>
    </x:row>
    <x:row r="74">
      <x:c r="A74" s="22"/>
      <x:c r="B74" s="22"/>
      <x:c r="C74" s="22"/>
      <x:c r="D74" s="34"/>
      <x:c r="E74" s="22"/>
      <x:c r="F74" s="31"/>
      <x:c r="G74" s="31"/>
      <x:c r="H74" s="22"/>
      <x:c r="I74" s="22"/>
      <x:c r="J74" s="22"/>
      <x:c r="K74" s="28" t="str">
        <x:f>IF(COUNTA(A74:J74)=0,"",IF(OR(A74="",B74="",C74="",D74="",E74="",I74=""),"不通过：缺少必填项",IF(COUNTIF($B$5:$B$104,B74)&gt;1,"不通过：编码重复",IF(COUNTIF($D$5:$D$104,D74)&gt;1,"不通过：排序重复","通过"))))</x:f>
      </x:c>
    </x:row>
    <x:row r="75">
      <x:c r="A75" s="22"/>
      <x:c r="B75" s="22"/>
      <x:c r="C75" s="22"/>
      <x:c r="D75" s="34"/>
      <x:c r="E75" s="22"/>
      <x:c r="F75" s="31"/>
      <x:c r="G75" s="31"/>
      <x:c r="H75" s="22"/>
      <x:c r="I75" s="22"/>
      <x:c r="J75" s="22"/>
      <x:c r="K75" s="28" t="str">
        <x:f>IF(COUNTA(A75:J75)=0,"",IF(OR(A75="",B75="",C75="",D75="",E75="",I75=""),"不通过：缺少必填项",IF(COUNTIF($B$5:$B$104,B75)&gt;1,"不通过：编码重复",IF(COUNTIF($D$5:$D$104,D75)&gt;1,"不通过：排序重复","通过"))))</x:f>
      </x:c>
    </x:row>
    <x:row r="76">
      <x:c r="A76" s="22"/>
      <x:c r="B76" s="22"/>
      <x:c r="C76" s="22"/>
      <x:c r="D76" s="34"/>
      <x:c r="E76" s="22"/>
      <x:c r="F76" s="31"/>
      <x:c r="G76" s="31"/>
      <x:c r="H76" s="22"/>
      <x:c r="I76" s="22"/>
      <x:c r="J76" s="22"/>
      <x:c r="K76" s="28" t="str">
        <x:f>IF(COUNTA(A76:J76)=0,"",IF(OR(A76="",B76="",C76="",D76="",E76="",I76=""),"不通过：缺少必填项",IF(COUNTIF($B$5:$B$104,B76)&gt;1,"不通过：编码重复",IF(COUNTIF($D$5:$D$104,D76)&gt;1,"不通过：排序重复","通过"))))</x:f>
      </x:c>
    </x:row>
    <x:row r="77">
      <x:c r="A77" s="22"/>
      <x:c r="B77" s="22"/>
      <x:c r="C77" s="22"/>
      <x:c r="D77" s="34"/>
      <x:c r="E77" s="22"/>
      <x:c r="F77" s="31"/>
      <x:c r="G77" s="31"/>
      <x:c r="H77" s="22"/>
      <x:c r="I77" s="22"/>
      <x:c r="J77" s="22"/>
      <x:c r="K77" s="28" t="str">
        <x:f>IF(COUNTA(A77:J77)=0,"",IF(OR(A77="",B77="",C77="",D77="",E77="",I77=""),"不通过：缺少必填项",IF(COUNTIF($B$5:$B$104,B77)&gt;1,"不通过：编码重复",IF(COUNTIF($D$5:$D$104,D77)&gt;1,"不通过：排序重复","通过"))))</x:f>
      </x:c>
    </x:row>
    <x:row r="78">
      <x:c r="A78" s="22"/>
      <x:c r="B78" s="22"/>
      <x:c r="C78" s="22"/>
      <x:c r="D78" s="34"/>
      <x:c r="E78" s="22"/>
      <x:c r="F78" s="31"/>
      <x:c r="G78" s="31"/>
      <x:c r="H78" s="22"/>
      <x:c r="I78" s="22"/>
      <x:c r="J78" s="22"/>
      <x:c r="K78" s="28" t="str">
        <x:f>IF(COUNTA(A78:J78)=0,"",IF(OR(A78="",B78="",C78="",D78="",E78="",I78=""),"不通过：缺少必填项",IF(COUNTIF($B$5:$B$104,B78)&gt;1,"不通过：编码重复",IF(COUNTIF($D$5:$D$104,D78)&gt;1,"不通过：排序重复","通过"))))</x:f>
      </x:c>
    </x:row>
    <x:row r="79">
      <x:c r="A79" s="22"/>
      <x:c r="B79" s="22"/>
      <x:c r="C79" s="22"/>
      <x:c r="D79" s="34"/>
      <x:c r="E79" s="22"/>
      <x:c r="F79" s="31"/>
      <x:c r="G79" s="31"/>
      <x:c r="H79" s="22"/>
      <x:c r="I79" s="22"/>
      <x:c r="J79" s="22"/>
      <x:c r="K79" s="28" t="str">
        <x:f>IF(COUNTA(A79:J79)=0,"",IF(OR(A79="",B79="",C79="",D79="",E79="",I79=""),"不通过：缺少必填项",IF(COUNTIF($B$5:$B$104,B79)&gt;1,"不通过：编码重复",IF(COUNTIF($D$5:$D$104,D79)&gt;1,"不通过：排序重复","通过"))))</x:f>
      </x:c>
    </x:row>
    <x:row r="80">
      <x:c r="A80" s="22"/>
      <x:c r="B80" s="22"/>
      <x:c r="C80" s="22"/>
      <x:c r="D80" s="34"/>
      <x:c r="E80" s="22"/>
      <x:c r="F80" s="31"/>
      <x:c r="G80" s="31"/>
      <x:c r="H80" s="22"/>
      <x:c r="I80" s="22"/>
      <x:c r="J80" s="22"/>
      <x:c r="K80" s="28" t="str">
        <x:f>IF(COUNTA(A80:J80)=0,"",IF(OR(A80="",B80="",C80="",D80="",E80="",I80=""),"不通过：缺少必填项",IF(COUNTIF($B$5:$B$104,B80)&gt;1,"不通过：编码重复",IF(COUNTIF($D$5:$D$104,D80)&gt;1,"不通过：排序重复","通过"))))</x:f>
      </x:c>
    </x:row>
    <x:row r="81">
      <x:c r="A81" s="22"/>
      <x:c r="B81" s="22"/>
      <x:c r="C81" s="22"/>
      <x:c r="D81" s="34"/>
      <x:c r="E81" s="22"/>
      <x:c r="F81" s="31"/>
      <x:c r="G81" s="31"/>
      <x:c r="H81" s="22"/>
      <x:c r="I81" s="22"/>
      <x:c r="J81" s="22"/>
      <x:c r="K81" s="28" t="str">
        <x:f>IF(COUNTA(A81:J81)=0,"",IF(OR(A81="",B81="",C81="",D81="",E81="",I81=""),"不通过：缺少必填项",IF(COUNTIF($B$5:$B$104,B81)&gt;1,"不通过：编码重复",IF(COUNTIF($D$5:$D$104,D81)&gt;1,"不通过：排序重复","通过"))))</x:f>
      </x:c>
    </x:row>
    <x:row r="82">
      <x:c r="A82" s="22"/>
      <x:c r="B82" s="22"/>
      <x:c r="C82" s="22"/>
      <x:c r="D82" s="34"/>
      <x:c r="E82" s="22"/>
      <x:c r="F82" s="31"/>
      <x:c r="G82" s="31"/>
      <x:c r="H82" s="22"/>
      <x:c r="I82" s="22"/>
      <x:c r="J82" s="22"/>
      <x:c r="K82" s="28" t="str">
        <x:f>IF(COUNTA(A82:J82)=0,"",IF(OR(A82="",B82="",C82="",D82="",E82="",I82=""),"不通过：缺少必填项",IF(COUNTIF($B$5:$B$104,B82)&gt;1,"不通过：编码重复",IF(COUNTIF($D$5:$D$104,D82)&gt;1,"不通过：排序重复","通过"))))</x:f>
      </x:c>
    </x:row>
    <x:row r="83">
      <x:c r="A83" s="22"/>
      <x:c r="B83" s="22"/>
      <x:c r="C83" s="22"/>
      <x:c r="D83" s="34"/>
      <x:c r="E83" s="22"/>
      <x:c r="F83" s="31"/>
      <x:c r="G83" s="31"/>
      <x:c r="H83" s="22"/>
      <x:c r="I83" s="22"/>
      <x:c r="J83" s="22"/>
      <x:c r="K83" s="28" t="str">
        <x:f>IF(COUNTA(A83:J83)=0,"",IF(OR(A83="",B83="",C83="",D83="",E83="",I83=""),"不通过：缺少必填项",IF(COUNTIF($B$5:$B$104,B83)&gt;1,"不通过：编码重复",IF(COUNTIF($D$5:$D$104,D83)&gt;1,"不通过：排序重复","通过"))))</x:f>
      </x:c>
    </x:row>
    <x:row r="84">
      <x:c r="A84" s="22"/>
      <x:c r="B84" s="22"/>
      <x:c r="C84" s="22"/>
      <x:c r="D84" s="34"/>
      <x:c r="E84" s="22"/>
      <x:c r="F84" s="31"/>
      <x:c r="G84" s="31"/>
      <x:c r="H84" s="22"/>
      <x:c r="I84" s="22"/>
      <x:c r="J84" s="22"/>
      <x:c r="K84" s="28" t="str">
        <x:f>IF(COUNTA(A84:J84)=0,"",IF(OR(A84="",B84="",C84="",D84="",E84="",I84=""),"不通过：缺少必填项",IF(COUNTIF($B$5:$B$104,B84)&gt;1,"不通过：编码重复",IF(COUNTIF($D$5:$D$104,D84)&gt;1,"不通过：排序重复","通过"))))</x:f>
      </x:c>
    </x:row>
    <x:row r="85">
      <x:c r="A85" s="22"/>
      <x:c r="B85" s="22"/>
      <x:c r="C85" s="22"/>
      <x:c r="D85" s="34"/>
      <x:c r="E85" s="22"/>
      <x:c r="F85" s="31"/>
      <x:c r="G85" s="31"/>
      <x:c r="H85" s="22"/>
      <x:c r="I85" s="22"/>
      <x:c r="J85" s="22"/>
      <x:c r="K85" s="28" t="str">
        <x:f>IF(COUNTA(A85:J85)=0,"",IF(OR(A85="",B85="",C85="",D85="",E85="",I85=""),"不通过：缺少必填项",IF(COUNTIF($B$5:$B$104,B85)&gt;1,"不通过：编码重复",IF(COUNTIF($D$5:$D$104,D85)&gt;1,"不通过：排序重复","通过"))))</x:f>
      </x:c>
    </x:row>
    <x:row r="86">
      <x:c r="A86" s="22"/>
      <x:c r="B86" s="22"/>
      <x:c r="C86" s="22"/>
      <x:c r="D86" s="34"/>
      <x:c r="E86" s="22"/>
      <x:c r="F86" s="31"/>
      <x:c r="G86" s="31"/>
      <x:c r="H86" s="22"/>
      <x:c r="I86" s="22"/>
      <x:c r="J86" s="22"/>
      <x:c r="K86" s="28" t="str">
        <x:f>IF(COUNTA(A86:J86)=0,"",IF(OR(A86="",B86="",C86="",D86="",E86="",I86=""),"不通过：缺少必填项",IF(COUNTIF($B$5:$B$104,B86)&gt;1,"不通过：编码重复",IF(COUNTIF($D$5:$D$104,D86)&gt;1,"不通过：排序重复","通过"))))</x:f>
      </x:c>
    </x:row>
    <x:row r="87">
      <x:c r="A87" s="22"/>
      <x:c r="B87" s="22"/>
      <x:c r="C87" s="22"/>
      <x:c r="D87" s="34"/>
      <x:c r="E87" s="22"/>
      <x:c r="F87" s="31"/>
      <x:c r="G87" s="31"/>
      <x:c r="H87" s="22"/>
      <x:c r="I87" s="22"/>
      <x:c r="J87" s="22"/>
      <x:c r="K87" s="28" t="str">
        <x:f>IF(COUNTA(A87:J87)=0,"",IF(OR(A87="",B87="",C87="",D87="",E87="",I87=""),"不通过：缺少必填项",IF(COUNTIF($B$5:$B$104,B87)&gt;1,"不通过：编码重复",IF(COUNTIF($D$5:$D$104,D87)&gt;1,"不通过：排序重复","通过"))))</x:f>
      </x:c>
    </x:row>
    <x:row r="88">
      <x:c r="A88" s="22"/>
      <x:c r="B88" s="22"/>
      <x:c r="C88" s="22"/>
      <x:c r="D88" s="34"/>
      <x:c r="E88" s="22"/>
      <x:c r="F88" s="31"/>
      <x:c r="G88" s="31"/>
      <x:c r="H88" s="22"/>
      <x:c r="I88" s="22"/>
      <x:c r="J88" s="22"/>
      <x:c r="K88" s="28" t="str">
        <x:f>IF(COUNTA(A88:J88)=0,"",IF(OR(A88="",B88="",C88="",D88="",E88="",I88=""),"不通过：缺少必填项",IF(COUNTIF($B$5:$B$104,B88)&gt;1,"不通过：编码重复",IF(COUNTIF($D$5:$D$104,D88)&gt;1,"不通过：排序重复","通过"))))</x:f>
      </x:c>
    </x:row>
    <x:row r="89">
      <x:c r="A89" s="22"/>
      <x:c r="B89" s="22"/>
      <x:c r="C89" s="22"/>
      <x:c r="D89" s="34"/>
      <x:c r="E89" s="22"/>
      <x:c r="F89" s="31"/>
      <x:c r="G89" s="31"/>
      <x:c r="H89" s="22"/>
      <x:c r="I89" s="22"/>
      <x:c r="J89" s="22"/>
      <x:c r="K89" s="28" t="str">
        <x:f>IF(COUNTA(A89:J89)=0,"",IF(OR(A89="",B89="",C89="",D89="",E89="",I89=""),"不通过：缺少必填项",IF(COUNTIF($B$5:$B$104,B89)&gt;1,"不通过：编码重复",IF(COUNTIF($D$5:$D$104,D89)&gt;1,"不通过：排序重复","通过"))))</x:f>
      </x:c>
    </x:row>
    <x:row r="90">
      <x:c r="A90" s="22"/>
      <x:c r="B90" s="22"/>
      <x:c r="C90" s="22"/>
      <x:c r="D90" s="34"/>
      <x:c r="E90" s="22"/>
      <x:c r="F90" s="31"/>
      <x:c r="G90" s="31"/>
      <x:c r="H90" s="22"/>
      <x:c r="I90" s="22"/>
      <x:c r="J90" s="22"/>
      <x:c r="K90" s="28" t="str">
        <x:f>IF(COUNTA(A90:J90)=0,"",IF(OR(A90="",B90="",C90="",D90="",E90="",I90=""),"不通过：缺少必填项",IF(COUNTIF($B$5:$B$104,B90)&gt;1,"不通过：编码重复",IF(COUNTIF($D$5:$D$104,D90)&gt;1,"不通过：排序重复","通过"))))</x:f>
      </x:c>
    </x:row>
    <x:row r="91">
      <x:c r="A91" s="22"/>
      <x:c r="B91" s="22"/>
      <x:c r="C91" s="22"/>
      <x:c r="D91" s="34"/>
      <x:c r="E91" s="22"/>
      <x:c r="F91" s="31"/>
      <x:c r="G91" s="31"/>
      <x:c r="H91" s="22"/>
      <x:c r="I91" s="22"/>
      <x:c r="J91" s="22"/>
      <x:c r="K91" s="28" t="str">
        <x:f>IF(COUNTA(A91:J91)=0,"",IF(OR(A91="",B91="",C91="",D91="",E91="",I91=""),"不通过：缺少必填项",IF(COUNTIF($B$5:$B$104,B91)&gt;1,"不通过：编码重复",IF(COUNTIF($D$5:$D$104,D91)&gt;1,"不通过：排序重复","通过"))))</x:f>
      </x:c>
    </x:row>
    <x:row r="92">
      <x:c r="A92" s="22"/>
      <x:c r="B92" s="22"/>
      <x:c r="C92" s="22"/>
      <x:c r="D92" s="34"/>
      <x:c r="E92" s="22"/>
      <x:c r="F92" s="31"/>
      <x:c r="G92" s="31"/>
      <x:c r="H92" s="22"/>
      <x:c r="I92" s="22"/>
      <x:c r="J92" s="22"/>
      <x:c r="K92" s="28" t="str">
        <x:f>IF(COUNTA(A92:J92)=0,"",IF(OR(A92="",B92="",C92="",D92="",E92="",I92=""),"不通过：缺少必填项",IF(COUNTIF($B$5:$B$104,B92)&gt;1,"不通过：编码重复",IF(COUNTIF($D$5:$D$104,D92)&gt;1,"不通过：排序重复","通过"))))</x:f>
      </x:c>
    </x:row>
    <x:row r="93">
      <x:c r="A93" s="22"/>
      <x:c r="B93" s="22"/>
      <x:c r="C93" s="22"/>
      <x:c r="D93" s="34"/>
      <x:c r="E93" s="22"/>
      <x:c r="F93" s="31"/>
      <x:c r="G93" s="31"/>
      <x:c r="H93" s="22"/>
      <x:c r="I93" s="22"/>
      <x:c r="J93" s="22"/>
      <x:c r="K93" s="28" t="str">
        <x:f>IF(COUNTA(A93:J93)=0,"",IF(OR(A93="",B93="",C93="",D93="",E93="",I93=""),"不通过：缺少必填项",IF(COUNTIF($B$5:$B$104,B93)&gt;1,"不通过：编码重复",IF(COUNTIF($D$5:$D$104,D93)&gt;1,"不通过：排序重复","通过"))))</x:f>
      </x:c>
    </x:row>
    <x:row r="94">
      <x:c r="A94" s="22"/>
      <x:c r="B94" s="22"/>
      <x:c r="C94" s="22"/>
      <x:c r="D94" s="34"/>
      <x:c r="E94" s="22"/>
      <x:c r="F94" s="31"/>
      <x:c r="G94" s="31"/>
      <x:c r="H94" s="22"/>
      <x:c r="I94" s="22"/>
      <x:c r="J94" s="22"/>
      <x:c r="K94" s="28" t="str">
        <x:f>IF(COUNTA(A94:J94)=0,"",IF(OR(A94="",B94="",C94="",D94="",E94="",I94=""),"不通过：缺少必填项",IF(COUNTIF($B$5:$B$104,B94)&gt;1,"不通过：编码重复",IF(COUNTIF($D$5:$D$104,D94)&gt;1,"不通过：排序重复","通过"))))</x:f>
      </x:c>
    </x:row>
    <x:row r="95">
      <x:c r="A95" s="22"/>
      <x:c r="B95" s="22"/>
      <x:c r="C95" s="22"/>
      <x:c r="D95" s="34"/>
      <x:c r="E95" s="22"/>
      <x:c r="F95" s="31"/>
      <x:c r="G95" s="31"/>
      <x:c r="H95" s="22"/>
      <x:c r="I95" s="22"/>
      <x:c r="J95" s="22"/>
      <x:c r="K95" s="28" t="str">
        <x:f>IF(COUNTA(A95:J95)=0,"",IF(OR(A95="",B95="",C95="",D95="",E95="",I95=""),"不通过：缺少必填项",IF(COUNTIF($B$5:$B$104,B95)&gt;1,"不通过：编码重复",IF(COUNTIF($D$5:$D$104,D95)&gt;1,"不通过：排序重复","通过"))))</x:f>
      </x:c>
    </x:row>
    <x:row r="96">
      <x:c r="A96" s="22"/>
      <x:c r="B96" s="22"/>
      <x:c r="C96" s="22"/>
      <x:c r="D96" s="34"/>
      <x:c r="E96" s="22"/>
      <x:c r="F96" s="31"/>
      <x:c r="G96" s="31"/>
      <x:c r="H96" s="22"/>
      <x:c r="I96" s="22"/>
      <x:c r="J96" s="22"/>
      <x:c r="K96" s="28" t="str">
        <x:f>IF(COUNTA(A96:J96)=0,"",IF(OR(A96="",B96="",C96="",D96="",E96="",I96=""),"不通过：缺少必填项",IF(COUNTIF($B$5:$B$104,B96)&gt;1,"不通过：编码重复",IF(COUNTIF($D$5:$D$104,D96)&gt;1,"不通过：排序重复","通过"))))</x:f>
      </x:c>
    </x:row>
    <x:row r="97">
      <x:c r="A97" s="22"/>
      <x:c r="B97" s="22"/>
      <x:c r="C97" s="22"/>
      <x:c r="D97" s="34"/>
      <x:c r="E97" s="22"/>
      <x:c r="F97" s="31"/>
      <x:c r="G97" s="31"/>
      <x:c r="H97" s="22"/>
      <x:c r="I97" s="22"/>
      <x:c r="J97" s="22"/>
      <x:c r="K97" s="28" t="str">
        <x:f>IF(COUNTA(A97:J97)=0,"",IF(OR(A97="",B97="",C97="",D97="",E97="",I97=""),"不通过：缺少必填项",IF(COUNTIF($B$5:$B$104,B97)&gt;1,"不通过：编码重复",IF(COUNTIF($D$5:$D$104,D97)&gt;1,"不通过：排序重复","通过"))))</x:f>
      </x:c>
    </x:row>
    <x:row r="98">
      <x:c r="A98" s="22"/>
      <x:c r="B98" s="22"/>
      <x:c r="C98" s="22"/>
      <x:c r="D98" s="34"/>
      <x:c r="E98" s="22"/>
      <x:c r="F98" s="31"/>
      <x:c r="G98" s="31"/>
      <x:c r="H98" s="22"/>
      <x:c r="I98" s="22"/>
      <x:c r="J98" s="22"/>
      <x:c r="K98" s="28" t="str">
        <x:f>IF(COUNTA(A98:J98)=0,"",IF(OR(A98="",B98="",C98="",D98="",E98="",I98=""),"不通过：缺少必填项",IF(COUNTIF($B$5:$B$104,B98)&gt;1,"不通过：编码重复",IF(COUNTIF($D$5:$D$104,D98)&gt;1,"不通过：排序重复","通过"))))</x:f>
      </x:c>
    </x:row>
    <x:row r="99">
      <x:c r="A99" s="22"/>
      <x:c r="B99" s="22"/>
      <x:c r="C99" s="22"/>
      <x:c r="D99" s="34"/>
      <x:c r="E99" s="22"/>
      <x:c r="F99" s="31"/>
      <x:c r="G99" s="31"/>
      <x:c r="H99" s="22"/>
      <x:c r="I99" s="22"/>
      <x:c r="J99" s="22"/>
      <x:c r="K99" s="28" t="str">
        <x:f>IF(COUNTA(A99:J99)=0,"",IF(OR(A99="",B99="",C99="",D99="",E99="",I99=""),"不通过：缺少必填项",IF(COUNTIF($B$5:$B$104,B99)&gt;1,"不通过：编码重复",IF(COUNTIF($D$5:$D$104,D99)&gt;1,"不通过：排序重复","通过"))))</x:f>
      </x:c>
    </x:row>
    <x:row r="100">
      <x:c r="A100" s="22"/>
      <x:c r="B100" s="22"/>
      <x:c r="C100" s="22"/>
      <x:c r="D100" s="34"/>
      <x:c r="E100" s="22"/>
      <x:c r="F100" s="31"/>
      <x:c r="G100" s="31"/>
      <x:c r="H100" s="22"/>
      <x:c r="I100" s="22"/>
      <x:c r="J100" s="22"/>
      <x:c r="K100" s="28" t="str">
        <x:f>IF(COUNTA(A100:J100)=0,"",IF(OR(A100="",B100="",C100="",D100="",E100="",I100=""),"不通过：缺少必填项",IF(COUNTIF($B$5:$B$104,B100)&gt;1,"不通过：编码重复",IF(COUNTIF($D$5:$D$104,D100)&gt;1,"不通过：排序重复","通过"))))</x:f>
      </x:c>
    </x:row>
    <x:row r="101">
      <x:c r="A101" s="22"/>
      <x:c r="B101" s="22"/>
      <x:c r="C101" s="22"/>
      <x:c r="D101" s="34"/>
      <x:c r="E101" s="22"/>
      <x:c r="F101" s="31"/>
      <x:c r="G101" s="31"/>
      <x:c r="H101" s="22"/>
      <x:c r="I101" s="22"/>
      <x:c r="J101" s="22"/>
      <x:c r="K101" s="28" t="str">
        <x:f>IF(COUNTA(A101:J101)=0,"",IF(OR(A101="",B101="",C101="",D101="",E101="",I101=""),"不通过：缺少必填项",IF(COUNTIF($B$5:$B$104,B101)&gt;1,"不通过：编码重复",IF(COUNTIF($D$5:$D$104,D101)&gt;1,"不通过：排序重复","通过"))))</x:f>
      </x:c>
    </x:row>
    <x:row r="102">
      <x:c r="A102" s="22"/>
      <x:c r="B102" s="22"/>
      <x:c r="C102" s="22"/>
      <x:c r="D102" s="34"/>
      <x:c r="E102" s="22"/>
      <x:c r="F102" s="31"/>
      <x:c r="G102" s="31"/>
      <x:c r="H102" s="22"/>
      <x:c r="I102" s="22"/>
      <x:c r="J102" s="22"/>
      <x:c r="K102" s="28" t="str">
        <x:f>IF(COUNTA(A102:J102)=0,"",IF(OR(A102="",B102="",C102="",D102="",E102="",I102=""),"不通过：缺少必填项",IF(COUNTIF($B$5:$B$104,B102)&gt;1,"不通过：编码重复",IF(COUNTIF($D$5:$D$104,D102)&gt;1,"不通过：排序重复","通过"))))</x:f>
      </x:c>
    </x:row>
    <x:row r="103">
      <x:c r="A103" s="22"/>
      <x:c r="B103" s="22"/>
      <x:c r="C103" s="22"/>
      <x:c r="D103" s="34"/>
      <x:c r="E103" s="22"/>
      <x:c r="F103" s="31"/>
      <x:c r="G103" s="31"/>
      <x:c r="H103" s="22"/>
      <x:c r="I103" s="22"/>
      <x:c r="J103" s="22"/>
      <x:c r="K103" s="28" t="str">
        <x:f>IF(COUNTA(A103:J103)=0,"",IF(OR(A103="",B103="",C103="",D103="",E103="",I103=""),"不通过：缺少必填项",IF(COUNTIF($B$5:$B$104,B103)&gt;1,"不通过：编码重复",IF(COUNTIF($D$5:$D$104,D103)&gt;1,"不通过：排序重复","通过"))))</x:f>
      </x:c>
    </x:row>
    <x:row r="104">
      <x:c r="A104" s="23"/>
      <x:c r="B104" s="23"/>
      <x:c r="C104" s="23"/>
      <x:c r="D104" s="35"/>
      <x:c r="E104" s="23"/>
      <x:c r="F104" s="32"/>
      <x:c r="G104" s="32"/>
      <x:c r="H104" s="23"/>
      <x:c r="I104" s="23"/>
      <x:c r="J104" s="23"/>
      <x:c r="K104" s="29" t="str">
        <x:f>IF(COUNTA(A104:J104)=0,"",IF(OR(A104="",B104="",C104="",D104="",E104="",I104=""),"不通过：缺少必填项",IF(COUNTIF($B$5:$B$104,B104)&gt;1,"不通过：编码重复",IF(COUNTIF($D$5:$D$104,D104)&gt;1,"不通过：排序重复","通过"))))</x:f>
      </x:c>
    </x:row>
  </x:sheetData>
  <x:mergeCells>
    <x:mergeCell ref="A1:K1"/>
    <x:mergeCell ref="A2:K2"/>
  </x:mergeCells>
  <x:conditionalFormatting sqref="K5:K104">
    <x:cfRule type="beginsWith" dxfId="4" priority="1" operator="beginsWith" text="不通过"/>
    <x:cfRule type="cellIs" dxfId="5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E5:E104">
      <x:formula1>"启用,停用"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16" hidden="0" customWidth="1"/>
    <x:col min="6" max="6" width="10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  <x:col min="13" max="13" width="15" hidden="0" customWidth="1"/>
    <x:col min="14" max="14" width="15" hidden="0" customWidth="1"/>
    <x:col min="15" max="15" width="24" hidden="0" customWidth="1"/>
    <x:col min="16" max="16" width="28" hidden="0" customWidth="1"/>
    <x:col min="17" max="17" width="30" hidden="0" customWidth="1"/>
  </x:cols>
  <x:sheetData>
    <x:row r="1" ht="32" customHeight="1">
      <x:c r="A1" s="3" t="str">
        <x:v>检验项目主目录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7" t="str">
        <x:v>由检验科审定。项目编码、结果类型、专业组、标本、单位、小数位、参考范围和危急值共同决定是否可用于临床；不能只维护项目名称。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12" t="str">
        <x:v>数据状态*</x:v>
      </x:c>
      <x:c r="B4" s="12" t="str">
        <x:v>项目编码*</x:v>
      </x:c>
      <x:c r="C4" s="12" t="str">
        <x:v>项目中文名称*</x:v>
      </x:c>
      <x:c r="D4" s="12" t="str">
        <x:v>专业组编码*</x:v>
      </x:c>
      <x:c r="E4" s="12" t="str">
        <x:v>结果类型*</x:v>
      </x:c>
      <x:c r="F4" s="12" t="str">
        <x:v>小数位</x:v>
      </x:c>
      <x:c r="G4" s="12" t="str">
        <x:v>默认单位编码</x:v>
      </x:c>
      <x:c r="H4" s="12" t="str">
        <x:v>标本类型编码*</x:v>
      </x:c>
      <x:c r="I4" s="12" t="str">
        <x:v>报告顺序*</x:v>
      </x:c>
      <x:c r="J4" s="12" t="str">
        <x:v>可开立*</x:v>
      </x:c>
      <x:c r="K4" s="12" t="str">
        <x:v>启用状态*</x:v>
      </x:c>
      <x:c r="L4" s="12" t="str">
        <x:v>LOINC编码</x:v>
      </x:c>
      <x:c r="M4" s="12" t="str">
        <x:v>有效开始日期</x:v>
      </x:c>
      <x:c r="N4" s="12" t="str">
        <x:v>有效结束日期</x:v>
      </x:c>
      <x:c r="O4" s="12" t="str">
        <x:v>依据/版本*</x:v>
      </x:c>
      <x:c r="P4" s="12" t="str">
        <x:v>备注</x:v>
      </x:c>
      <x:c r="Q4" s="12" t="str">
        <x:v>校验结果</x:v>
      </x:c>
    </x:row>
    <x:row r="5">
      <x:c r="A5" s="21"/>
      <x:c r="B5" s="21"/>
      <x:c r="C5" s="21"/>
      <x:c r="D5" s="21"/>
      <x:c r="E5" s="21"/>
      <x:c r="F5" s="33"/>
      <x:c r="G5" s="21"/>
      <x:c r="H5" s="21"/>
      <x:c r="I5" s="33"/>
      <x:c r="J5" s="21"/>
      <x:c r="K5" s="21"/>
      <x:c r="L5" s="21"/>
      <x:c r="M5" s="30"/>
      <x:c r="N5" s="30"/>
      <x:c r="O5" s="21"/>
      <x:c r="P5" s="21"/>
      <x:c r="Q5" s="27" t="str">
        <x:f>IF(COUNTA(A5:P5)=0,"",IF(OR(A5="",B5="",C5="",D5="",E5="",H5="",I5="",J5="",K5="",O5=""),"不通过：缺少必填项",IF(COUNTIF($B$5:$B$104,B5)&gt;1,"不通过：编码重复",IF(COUNTIF('专业组'!$B$5:$B$104,D5)=0,"不通过：专业组编码不存在",IF(COUNTIF('标本容器'!$B$5:$B$104,H5)=0,"不通过：标本编码不存在",IF(AND(E5="数值",OR(F5="",G5="")),"不通过：数值项目缺小数位或单位",IF(AND(E5="数值",COUNTIF('结果单位'!$B$5:$B$104,G5)=0),"不通过：单位编码不存在","通过")))))))</x:f>
      </x:c>
    </x:row>
    <x:row r="6">
      <x:c r="A6" s="22"/>
      <x:c r="B6" s="22"/>
      <x:c r="C6" s="22"/>
      <x:c r="D6" s="22"/>
      <x:c r="E6" s="22"/>
      <x:c r="F6" s="34"/>
      <x:c r="G6" s="22"/>
      <x:c r="H6" s="22"/>
      <x:c r="I6" s="34"/>
      <x:c r="J6" s="22"/>
      <x:c r="K6" s="22"/>
      <x:c r="L6" s="22"/>
      <x:c r="M6" s="31"/>
      <x:c r="N6" s="31"/>
      <x:c r="O6" s="22"/>
      <x:c r="P6" s="22"/>
      <x:c r="Q6" s="28" t="str">
        <x:f>IF(COUNTA(A6:P6)=0,"",IF(OR(A6="",B6="",C6="",D6="",E6="",H6="",I6="",J6="",K6="",O6=""),"不通过：缺少必填项",IF(COUNTIF($B$5:$B$104,B6)&gt;1,"不通过：编码重复",IF(COUNTIF('专业组'!$B$5:$B$104,D6)=0,"不通过：专业组编码不存在",IF(COUNTIF('标本容器'!$B$5:$B$104,H6)=0,"不通过：标本编码不存在",IF(AND(E6="数值",OR(F6="",G6="")),"不通过：数值项目缺小数位或单位",IF(AND(E6="数值",COUNTIF('结果单位'!$B$5:$B$104,G6)=0),"不通过：单位编码不存在","通过")))))))</x:f>
      </x:c>
    </x:row>
    <x:row r="7">
      <x:c r="A7" s="22"/>
      <x:c r="B7" s="22"/>
      <x:c r="C7" s="22"/>
      <x:c r="D7" s="22"/>
      <x:c r="E7" s="22"/>
      <x:c r="F7" s="34"/>
      <x:c r="G7" s="22"/>
      <x:c r="H7" s="22"/>
      <x:c r="I7" s="34"/>
      <x:c r="J7" s="22"/>
      <x:c r="K7" s="22"/>
      <x:c r="L7" s="22"/>
      <x:c r="M7" s="31"/>
      <x:c r="N7" s="31"/>
      <x:c r="O7" s="22"/>
      <x:c r="P7" s="22"/>
      <x:c r="Q7" s="28" t="str">
        <x:f>IF(COUNTA(A7:P7)=0,"",IF(OR(A7="",B7="",C7="",D7="",E7="",H7="",I7="",J7="",K7="",O7=""),"不通过：缺少必填项",IF(COUNTIF($B$5:$B$104,B7)&gt;1,"不通过：编码重复",IF(COUNTIF('专业组'!$B$5:$B$104,D7)=0,"不通过：专业组编码不存在",IF(COUNTIF('标本容器'!$B$5:$B$104,H7)=0,"不通过：标本编码不存在",IF(AND(E7="数值",OR(F7="",G7="")),"不通过：数值项目缺小数位或单位",IF(AND(E7="数值",COUNTIF('结果单位'!$B$5:$B$104,G7)=0),"不通过：单位编码不存在","通过")))))))</x:f>
      </x:c>
    </x:row>
    <x:row r="8">
      <x:c r="A8" s="22"/>
      <x:c r="B8" s="22"/>
      <x:c r="C8" s="22"/>
      <x:c r="D8" s="22"/>
      <x:c r="E8" s="22"/>
      <x:c r="F8" s="34"/>
      <x:c r="G8" s="22"/>
      <x:c r="H8" s="22"/>
      <x:c r="I8" s="34"/>
      <x:c r="J8" s="22"/>
      <x:c r="K8" s="22"/>
      <x:c r="L8" s="22"/>
      <x:c r="M8" s="31"/>
      <x:c r="N8" s="31"/>
      <x:c r="O8" s="22"/>
      <x:c r="P8" s="22"/>
      <x:c r="Q8" s="28" t="str">
        <x:f>IF(COUNTA(A8:P8)=0,"",IF(OR(A8="",B8="",C8="",D8="",E8="",H8="",I8="",J8="",K8="",O8=""),"不通过：缺少必填项",IF(COUNTIF($B$5:$B$104,B8)&gt;1,"不通过：编码重复",IF(COUNTIF('专业组'!$B$5:$B$104,D8)=0,"不通过：专业组编码不存在",IF(COUNTIF('标本容器'!$B$5:$B$104,H8)=0,"不通过：标本编码不存在",IF(AND(E8="数值",OR(F8="",G8="")),"不通过：数值项目缺小数位或单位",IF(AND(E8="数值",COUNTIF('结果单位'!$B$5:$B$104,G8)=0),"不通过：单位编码不存在","通过")))))))</x:f>
      </x:c>
    </x:row>
    <x:row r="9">
      <x:c r="A9" s="22"/>
      <x:c r="B9" s="22"/>
      <x:c r="C9" s="22"/>
      <x:c r="D9" s="22"/>
      <x:c r="E9" s="22"/>
      <x:c r="F9" s="34"/>
      <x:c r="G9" s="22"/>
      <x:c r="H9" s="22"/>
      <x:c r="I9" s="34"/>
      <x:c r="J9" s="22"/>
      <x:c r="K9" s="22"/>
      <x:c r="L9" s="22"/>
      <x:c r="M9" s="31"/>
      <x:c r="N9" s="31"/>
      <x:c r="O9" s="22"/>
      <x:c r="P9" s="22"/>
      <x:c r="Q9" s="28" t="str">
        <x:f>IF(COUNTA(A9:P9)=0,"",IF(OR(A9="",B9="",C9="",D9="",E9="",H9="",I9="",J9="",K9="",O9=""),"不通过：缺少必填项",IF(COUNTIF($B$5:$B$104,B9)&gt;1,"不通过：编码重复",IF(COUNTIF('专业组'!$B$5:$B$104,D9)=0,"不通过：专业组编码不存在",IF(COUNTIF('标本容器'!$B$5:$B$104,H9)=0,"不通过：标本编码不存在",IF(AND(E9="数值",OR(F9="",G9="")),"不通过：数值项目缺小数位或单位",IF(AND(E9="数值",COUNTIF('结果单位'!$B$5:$B$104,G9)=0),"不通过：单位编码不存在","通过")))))))</x:f>
      </x:c>
    </x:row>
    <x:row r="10">
      <x:c r="A10" s="22"/>
      <x:c r="B10" s="22"/>
      <x:c r="C10" s="22"/>
      <x:c r="D10" s="22"/>
      <x:c r="E10" s="22"/>
      <x:c r="F10" s="34"/>
      <x:c r="G10" s="22"/>
      <x:c r="H10" s="22"/>
      <x:c r="I10" s="34"/>
      <x:c r="J10" s="22"/>
      <x:c r="K10" s="22"/>
      <x:c r="L10" s="22"/>
      <x:c r="M10" s="31"/>
      <x:c r="N10" s="31"/>
      <x:c r="O10" s="22"/>
      <x:c r="P10" s="22"/>
      <x:c r="Q10" s="28" t="str">
        <x:f>IF(COUNTA(A10:P10)=0,"",IF(OR(A10="",B10="",C10="",D10="",E10="",H10="",I10="",J10="",K10="",O10=""),"不通过：缺少必填项",IF(COUNTIF($B$5:$B$104,B10)&gt;1,"不通过：编码重复",IF(COUNTIF('专业组'!$B$5:$B$104,D10)=0,"不通过：专业组编码不存在",IF(COUNTIF('标本容器'!$B$5:$B$104,H10)=0,"不通过：标本编码不存在",IF(AND(E10="数值",OR(F10="",G10="")),"不通过：数值项目缺小数位或单位",IF(AND(E10="数值",COUNTIF('结果单位'!$B$5:$B$104,G10)=0),"不通过：单位编码不存在","通过")))))))</x:f>
      </x:c>
    </x:row>
    <x:row r="11">
      <x:c r="A11" s="22"/>
      <x:c r="B11" s="22"/>
      <x:c r="C11" s="22"/>
      <x:c r="D11" s="22"/>
      <x:c r="E11" s="22"/>
      <x:c r="F11" s="34"/>
      <x:c r="G11" s="22"/>
      <x:c r="H11" s="22"/>
      <x:c r="I11" s="34"/>
      <x:c r="J11" s="22"/>
      <x:c r="K11" s="22"/>
      <x:c r="L11" s="22"/>
      <x:c r="M11" s="31"/>
      <x:c r="N11" s="31"/>
      <x:c r="O11" s="22"/>
      <x:c r="P11" s="22"/>
      <x:c r="Q11" s="28" t="str">
        <x:f>IF(COUNTA(A11:P11)=0,"",IF(OR(A11="",B11="",C11="",D11="",E11="",H11="",I11="",J11="",K11="",O11=""),"不通过：缺少必填项",IF(COUNTIF($B$5:$B$104,B11)&gt;1,"不通过：编码重复",IF(COUNTIF('专业组'!$B$5:$B$104,D11)=0,"不通过：专业组编码不存在",IF(COUNTIF('标本容器'!$B$5:$B$104,H11)=0,"不通过：标本编码不存在",IF(AND(E11="数值",OR(F11="",G11="")),"不通过：数值项目缺小数位或单位",IF(AND(E11="数值",COUNTIF('结果单位'!$B$5:$B$104,G11)=0),"不通过：单位编码不存在","通过")))))))</x:f>
      </x:c>
    </x:row>
    <x:row r="12">
      <x:c r="A12" s="22"/>
      <x:c r="B12" s="22"/>
      <x:c r="C12" s="22"/>
      <x:c r="D12" s="22"/>
      <x:c r="E12" s="22"/>
      <x:c r="F12" s="34"/>
      <x:c r="G12" s="22"/>
      <x:c r="H12" s="22"/>
      <x:c r="I12" s="34"/>
      <x:c r="J12" s="22"/>
      <x:c r="K12" s="22"/>
      <x:c r="L12" s="22"/>
      <x:c r="M12" s="31"/>
      <x:c r="N12" s="31"/>
      <x:c r="O12" s="22"/>
      <x:c r="P12" s="22"/>
      <x:c r="Q12" s="28" t="str">
        <x:f>IF(COUNTA(A12:P12)=0,"",IF(OR(A12="",B12="",C12="",D12="",E12="",H12="",I12="",J12="",K12="",O12=""),"不通过：缺少必填项",IF(COUNTIF($B$5:$B$104,B12)&gt;1,"不通过：编码重复",IF(COUNTIF('专业组'!$B$5:$B$104,D12)=0,"不通过：专业组编码不存在",IF(COUNTIF('标本容器'!$B$5:$B$104,H12)=0,"不通过：标本编码不存在",IF(AND(E12="数值",OR(F12="",G12="")),"不通过：数值项目缺小数位或单位",IF(AND(E12="数值",COUNTIF('结果单位'!$B$5:$B$104,G12)=0),"不通过：单位编码不存在","通过")))))))</x:f>
      </x:c>
    </x:row>
    <x:row r="13">
      <x:c r="A13" s="22"/>
      <x:c r="B13" s="22"/>
      <x:c r="C13" s="22"/>
      <x:c r="D13" s="22"/>
      <x:c r="E13" s="22"/>
      <x:c r="F13" s="34"/>
      <x:c r="G13" s="22"/>
      <x:c r="H13" s="22"/>
      <x:c r="I13" s="34"/>
      <x:c r="J13" s="22"/>
      <x:c r="K13" s="22"/>
      <x:c r="L13" s="22"/>
      <x:c r="M13" s="31"/>
      <x:c r="N13" s="31"/>
      <x:c r="O13" s="22"/>
      <x:c r="P13" s="22"/>
      <x:c r="Q13" s="28" t="str">
        <x:f>IF(COUNTA(A13:P13)=0,"",IF(OR(A13="",B13="",C13="",D13="",E13="",H13="",I13="",J13="",K13="",O13=""),"不通过：缺少必填项",IF(COUNTIF($B$5:$B$104,B13)&gt;1,"不通过：编码重复",IF(COUNTIF('专业组'!$B$5:$B$104,D13)=0,"不通过：专业组编码不存在",IF(COUNTIF('标本容器'!$B$5:$B$104,H13)=0,"不通过：标本编码不存在",IF(AND(E13="数值",OR(F13="",G13="")),"不通过：数值项目缺小数位或单位",IF(AND(E13="数值",COUNTIF('结果单位'!$B$5:$B$104,G13)=0),"不通过：单位编码不存在","通过")))))))</x:f>
      </x:c>
    </x:row>
    <x:row r="14">
      <x:c r="A14" s="22"/>
      <x:c r="B14" s="22"/>
      <x:c r="C14" s="22"/>
      <x:c r="D14" s="22"/>
      <x:c r="E14" s="22"/>
      <x:c r="F14" s="34"/>
      <x:c r="G14" s="22"/>
      <x:c r="H14" s="22"/>
      <x:c r="I14" s="34"/>
      <x:c r="J14" s="22"/>
      <x:c r="K14" s="22"/>
      <x:c r="L14" s="22"/>
      <x:c r="M14" s="31"/>
      <x:c r="N14" s="31"/>
      <x:c r="O14" s="22"/>
      <x:c r="P14" s="22"/>
      <x:c r="Q14" s="28" t="str">
        <x:f>IF(COUNTA(A14:P14)=0,"",IF(OR(A14="",B14="",C14="",D14="",E14="",H14="",I14="",J14="",K14="",O14=""),"不通过：缺少必填项",IF(COUNTIF($B$5:$B$104,B14)&gt;1,"不通过：编码重复",IF(COUNTIF('专业组'!$B$5:$B$104,D14)=0,"不通过：专业组编码不存在",IF(COUNTIF('标本容器'!$B$5:$B$104,H14)=0,"不通过：标本编码不存在",IF(AND(E14="数值",OR(F14="",G14="")),"不通过：数值项目缺小数位或单位",IF(AND(E14="数值",COUNTIF('结果单位'!$B$5:$B$104,G14)=0),"不通过：单位编码不存在","通过")))))))</x:f>
      </x:c>
    </x:row>
    <x:row r="15">
      <x:c r="A15" s="22"/>
      <x:c r="B15" s="22"/>
      <x:c r="C15" s="22"/>
      <x:c r="D15" s="22"/>
      <x:c r="E15" s="22"/>
      <x:c r="F15" s="34"/>
      <x:c r="G15" s="22"/>
      <x:c r="H15" s="22"/>
      <x:c r="I15" s="34"/>
      <x:c r="J15" s="22"/>
      <x:c r="K15" s="22"/>
      <x:c r="L15" s="22"/>
      <x:c r="M15" s="31"/>
      <x:c r="N15" s="31"/>
      <x:c r="O15" s="22"/>
      <x:c r="P15" s="22"/>
      <x:c r="Q15" s="28" t="str">
        <x:f>IF(COUNTA(A15:P15)=0,"",IF(OR(A15="",B15="",C15="",D15="",E15="",H15="",I15="",J15="",K15="",O15=""),"不通过：缺少必填项",IF(COUNTIF($B$5:$B$104,B15)&gt;1,"不通过：编码重复",IF(COUNTIF('专业组'!$B$5:$B$104,D15)=0,"不通过：专业组编码不存在",IF(COUNTIF('标本容器'!$B$5:$B$104,H15)=0,"不通过：标本编码不存在",IF(AND(E15="数值",OR(F15="",G15="")),"不通过：数值项目缺小数位或单位",IF(AND(E15="数值",COUNTIF('结果单位'!$B$5:$B$104,G15)=0),"不通过：单位编码不存在","通过")))))))</x:f>
      </x:c>
    </x:row>
    <x:row r="16">
      <x:c r="A16" s="22"/>
      <x:c r="B16" s="22"/>
      <x:c r="C16" s="22"/>
      <x:c r="D16" s="22"/>
      <x:c r="E16" s="22"/>
      <x:c r="F16" s="34"/>
      <x:c r="G16" s="22"/>
      <x:c r="H16" s="22"/>
      <x:c r="I16" s="34"/>
      <x:c r="J16" s="22"/>
      <x:c r="K16" s="22"/>
      <x:c r="L16" s="22"/>
      <x:c r="M16" s="31"/>
      <x:c r="N16" s="31"/>
      <x:c r="O16" s="22"/>
      <x:c r="P16" s="22"/>
      <x:c r="Q16" s="28" t="str">
        <x:f>IF(COUNTA(A16:P16)=0,"",IF(OR(A16="",B16="",C16="",D16="",E16="",H16="",I16="",J16="",K16="",O16=""),"不通过：缺少必填项",IF(COUNTIF($B$5:$B$104,B16)&gt;1,"不通过：编码重复",IF(COUNTIF('专业组'!$B$5:$B$104,D16)=0,"不通过：专业组编码不存在",IF(COUNTIF('标本容器'!$B$5:$B$104,H16)=0,"不通过：标本编码不存在",IF(AND(E16="数值",OR(F16="",G16="")),"不通过：数值项目缺小数位或单位",IF(AND(E16="数值",COUNTIF('结果单位'!$B$5:$B$104,G16)=0),"不通过：单位编码不存在","通过")))))))</x:f>
      </x:c>
    </x:row>
    <x:row r="17">
      <x:c r="A17" s="22"/>
      <x:c r="B17" s="22"/>
      <x:c r="C17" s="22"/>
      <x:c r="D17" s="22"/>
      <x:c r="E17" s="22"/>
      <x:c r="F17" s="34"/>
      <x:c r="G17" s="22"/>
      <x:c r="H17" s="22"/>
      <x:c r="I17" s="34"/>
      <x:c r="J17" s="22"/>
      <x:c r="K17" s="22"/>
      <x:c r="L17" s="22"/>
      <x:c r="M17" s="31"/>
      <x:c r="N17" s="31"/>
      <x:c r="O17" s="22"/>
      <x:c r="P17" s="22"/>
      <x:c r="Q17" s="28" t="str">
        <x:f>IF(COUNTA(A17:P17)=0,"",IF(OR(A17="",B17="",C17="",D17="",E17="",H17="",I17="",J17="",K17="",O17=""),"不通过：缺少必填项",IF(COUNTIF($B$5:$B$104,B17)&gt;1,"不通过：编码重复",IF(COUNTIF('专业组'!$B$5:$B$104,D17)=0,"不通过：专业组编码不存在",IF(COUNTIF('标本容器'!$B$5:$B$104,H17)=0,"不通过：标本编码不存在",IF(AND(E17="数值",OR(F17="",G17="")),"不通过：数值项目缺小数位或单位",IF(AND(E17="数值",COUNTIF('结果单位'!$B$5:$B$104,G17)=0),"不通过：单位编码不存在","通过")))))))</x:f>
      </x:c>
    </x:row>
    <x:row r="18">
      <x:c r="A18" s="22"/>
      <x:c r="B18" s="22"/>
      <x:c r="C18" s="22"/>
      <x:c r="D18" s="22"/>
      <x:c r="E18" s="22"/>
      <x:c r="F18" s="34"/>
      <x:c r="G18" s="22"/>
      <x:c r="H18" s="22"/>
      <x:c r="I18" s="34"/>
      <x:c r="J18" s="22"/>
      <x:c r="K18" s="22"/>
      <x:c r="L18" s="22"/>
      <x:c r="M18" s="31"/>
      <x:c r="N18" s="31"/>
      <x:c r="O18" s="22"/>
      <x:c r="P18" s="22"/>
      <x:c r="Q18" s="28" t="str">
        <x:f>IF(COUNTA(A18:P18)=0,"",IF(OR(A18="",B18="",C18="",D18="",E18="",H18="",I18="",J18="",K18="",O18=""),"不通过：缺少必填项",IF(COUNTIF($B$5:$B$104,B18)&gt;1,"不通过：编码重复",IF(COUNTIF('专业组'!$B$5:$B$104,D18)=0,"不通过：专业组编码不存在",IF(COUNTIF('标本容器'!$B$5:$B$104,H18)=0,"不通过：标本编码不存在",IF(AND(E18="数值",OR(F18="",G18="")),"不通过：数值项目缺小数位或单位",IF(AND(E18="数值",COUNTIF('结果单位'!$B$5:$B$104,G18)=0),"不通过：单位编码不存在","通过")))))))</x:f>
      </x:c>
    </x:row>
    <x:row r="19">
      <x:c r="A19" s="22"/>
      <x:c r="B19" s="22"/>
      <x:c r="C19" s="22"/>
      <x:c r="D19" s="22"/>
      <x:c r="E19" s="22"/>
      <x:c r="F19" s="34"/>
      <x:c r="G19" s="22"/>
      <x:c r="H19" s="22"/>
      <x:c r="I19" s="34"/>
      <x:c r="J19" s="22"/>
      <x:c r="K19" s="22"/>
      <x:c r="L19" s="22"/>
      <x:c r="M19" s="31"/>
      <x:c r="N19" s="31"/>
      <x:c r="O19" s="22"/>
      <x:c r="P19" s="22"/>
      <x:c r="Q19" s="28" t="str">
        <x:f>IF(COUNTA(A19:P19)=0,"",IF(OR(A19="",B19="",C19="",D19="",E19="",H19="",I19="",J19="",K19="",O19=""),"不通过：缺少必填项",IF(COUNTIF($B$5:$B$104,B19)&gt;1,"不通过：编码重复",IF(COUNTIF('专业组'!$B$5:$B$104,D19)=0,"不通过：专业组编码不存在",IF(COUNTIF('标本容器'!$B$5:$B$104,H19)=0,"不通过：标本编码不存在",IF(AND(E19="数值",OR(F19="",G19="")),"不通过：数值项目缺小数位或单位",IF(AND(E19="数值",COUNTIF('结果单位'!$B$5:$B$104,G19)=0),"不通过：单位编码不存在","通过")))))))</x:f>
      </x:c>
    </x:row>
    <x:row r="20">
      <x:c r="A20" s="22"/>
      <x:c r="B20" s="22"/>
      <x:c r="C20" s="22"/>
      <x:c r="D20" s="22"/>
      <x:c r="E20" s="22"/>
      <x:c r="F20" s="34"/>
      <x:c r="G20" s="22"/>
      <x:c r="H20" s="22"/>
      <x:c r="I20" s="34"/>
      <x:c r="J20" s="22"/>
      <x:c r="K20" s="22"/>
      <x:c r="L20" s="22"/>
      <x:c r="M20" s="31"/>
      <x:c r="N20" s="31"/>
      <x:c r="O20" s="22"/>
      <x:c r="P20" s="22"/>
      <x:c r="Q20" s="28" t="str">
        <x:f>IF(COUNTA(A20:P20)=0,"",IF(OR(A20="",B20="",C20="",D20="",E20="",H20="",I20="",J20="",K20="",O20=""),"不通过：缺少必填项",IF(COUNTIF($B$5:$B$104,B20)&gt;1,"不通过：编码重复",IF(COUNTIF('专业组'!$B$5:$B$104,D20)=0,"不通过：专业组编码不存在",IF(COUNTIF('标本容器'!$B$5:$B$104,H20)=0,"不通过：标本编码不存在",IF(AND(E20="数值",OR(F20="",G20="")),"不通过：数值项目缺小数位或单位",IF(AND(E20="数值",COUNTIF('结果单位'!$B$5:$B$104,G20)=0),"不通过：单位编码不存在","通过")))))))</x:f>
      </x:c>
    </x:row>
    <x:row r="21">
      <x:c r="A21" s="22"/>
      <x:c r="B21" s="22"/>
      <x:c r="C21" s="22"/>
      <x:c r="D21" s="22"/>
      <x:c r="E21" s="22"/>
      <x:c r="F21" s="34"/>
      <x:c r="G21" s="22"/>
      <x:c r="H21" s="22"/>
      <x:c r="I21" s="34"/>
      <x:c r="J21" s="22"/>
      <x:c r="K21" s="22"/>
      <x:c r="L21" s="22"/>
      <x:c r="M21" s="31"/>
      <x:c r="N21" s="31"/>
      <x:c r="O21" s="22"/>
      <x:c r="P21" s="22"/>
      <x:c r="Q21" s="28" t="str">
        <x:f>IF(COUNTA(A21:P21)=0,"",IF(OR(A21="",B21="",C21="",D21="",E21="",H21="",I21="",J21="",K21="",O21=""),"不通过：缺少必填项",IF(COUNTIF($B$5:$B$104,B21)&gt;1,"不通过：编码重复",IF(COUNTIF('专业组'!$B$5:$B$104,D21)=0,"不通过：专业组编码不存在",IF(COUNTIF('标本容器'!$B$5:$B$104,H21)=0,"不通过：标本编码不存在",IF(AND(E21="数值",OR(F21="",G21="")),"不通过：数值项目缺小数位或单位",IF(AND(E21="数值",COUNTIF('结果单位'!$B$5:$B$104,G21)=0),"不通过：单位编码不存在","通过")))))))</x:f>
      </x:c>
    </x:row>
    <x:row r="22">
      <x:c r="A22" s="22"/>
      <x:c r="B22" s="22"/>
      <x:c r="C22" s="22"/>
      <x:c r="D22" s="22"/>
      <x:c r="E22" s="22"/>
      <x:c r="F22" s="34"/>
      <x:c r="G22" s="22"/>
      <x:c r="H22" s="22"/>
      <x:c r="I22" s="34"/>
      <x:c r="J22" s="22"/>
      <x:c r="K22" s="22"/>
      <x:c r="L22" s="22"/>
      <x:c r="M22" s="31"/>
      <x:c r="N22" s="31"/>
      <x:c r="O22" s="22"/>
      <x:c r="P22" s="22"/>
      <x:c r="Q22" s="28" t="str">
        <x:f>IF(COUNTA(A22:P22)=0,"",IF(OR(A22="",B22="",C22="",D22="",E22="",H22="",I22="",J22="",K22="",O22=""),"不通过：缺少必填项",IF(COUNTIF($B$5:$B$104,B22)&gt;1,"不通过：编码重复",IF(COUNTIF('专业组'!$B$5:$B$104,D22)=0,"不通过：专业组编码不存在",IF(COUNTIF('标本容器'!$B$5:$B$104,H22)=0,"不通过：标本编码不存在",IF(AND(E22="数值",OR(F22="",G22="")),"不通过：数值项目缺小数位或单位",IF(AND(E22="数值",COUNTIF('结果单位'!$B$5:$B$104,G22)=0),"不通过：单位编码不存在","通过")))))))</x:f>
      </x:c>
    </x:row>
    <x:row r="23">
      <x:c r="A23" s="22"/>
      <x:c r="B23" s="22"/>
      <x:c r="C23" s="22"/>
      <x:c r="D23" s="22"/>
      <x:c r="E23" s="22"/>
      <x:c r="F23" s="34"/>
      <x:c r="G23" s="22"/>
      <x:c r="H23" s="22"/>
      <x:c r="I23" s="34"/>
      <x:c r="J23" s="22"/>
      <x:c r="K23" s="22"/>
      <x:c r="L23" s="22"/>
      <x:c r="M23" s="31"/>
      <x:c r="N23" s="31"/>
      <x:c r="O23" s="22"/>
      <x:c r="P23" s="22"/>
      <x:c r="Q23" s="28" t="str">
        <x:f>IF(COUNTA(A23:P23)=0,"",IF(OR(A23="",B23="",C23="",D23="",E23="",H23="",I23="",J23="",K23="",O23=""),"不通过：缺少必填项",IF(COUNTIF($B$5:$B$104,B23)&gt;1,"不通过：编码重复",IF(COUNTIF('专业组'!$B$5:$B$104,D23)=0,"不通过：专业组编码不存在",IF(COUNTIF('标本容器'!$B$5:$B$104,H23)=0,"不通过：标本编码不存在",IF(AND(E23="数值",OR(F23="",G23="")),"不通过：数值项目缺小数位或单位",IF(AND(E23="数值",COUNTIF('结果单位'!$B$5:$B$104,G23)=0),"不通过：单位编码不存在","通过")))))))</x:f>
      </x:c>
    </x:row>
    <x:row r="24">
      <x:c r="A24" s="22"/>
      <x:c r="B24" s="22"/>
      <x:c r="C24" s="22"/>
      <x:c r="D24" s="22"/>
      <x:c r="E24" s="22"/>
      <x:c r="F24" s="34"/>
      <x:c r="G24" s="22"/>
      <x:c r="H24" s="22"/>
      <x:c r="I24" s="34"/>
      <x:c r="J24" s="22"/>
      <x:c r="K24" s="22"/>
      <x:c r="L24" s="22"/>
      <x:c r="M24" s="31"/>
      <x:c r="N24" s="31"/>
      <x:c r="O24" s="22"/>
      <x:c r="P24" s="22"/>
      <x:c r="Q24" s="28" t="str">
        <x:f>IF(COUNTA(A24:P24)=0,"",IF(OR(A24="",B24="",C24="",D24="",E24="",H24="",I24="",J24="",K24="",O24=""),"不通过：缺少必填项",IF(COUNTIF($B$5:$B$104,B24)&gt;1,"不通过：编码重复",IF(COUNTIF('专业组'!$B$5:$B$104,D24)=0,"不通过：专业组编码不存在",IF(COUNTIF('标本容器'!$B$5:$B$104,H24)=0,"不通过：标本编码不存在",IF(AND(E24="数值",OR(F24="",G24="")),"不通过：数值项目缺小数位或单位",IF(AND(E24="数值",COUNTIF('结果单位'!$B$5:$B$104,G24)=0),"不通过：单位编码不存在","通过")))))))</x:f>
      </x:c>
    </x:row>
    <x:row r="25">
      <x:c r="A25" s="22"/>
      <x:c r="B25" s="22"/>
      <x:c r="C25" s="22"/>
      <x:c r="D25" s="22"/>
      <x:c r="E25" s="22"/>
      <x:c r="F25" s="34"/>
      <x:c r="G25" s="22"/>
      <x:c r="H25" s="22"/>
      <x:c r="I25" s="34"/>
      <x:c r="J25" s="22"/>
      <x:c r="K25" s="22"/>
      <x:c r="L25" s="22"/>
      <x:c r="M25" s="31"/>
      <x:c r="N25" s="31"/>
      <x:c r="O25" s="22"/>
      <x:c r="P25" s="22"/>
      <x:c r="Q25" s="28" t="str">
        <x:f>IF(COUNTA(A25:P25)=0,"",IF(OR(A25="",B25="",C25="",D25="",E25="",H25="",I25="",J25="",K25="",O25=""),"不通过：缺少必填项",IF(COUNTIF($B$5:$B$104,B25)&gt;1,"不通过：编码重复",IF(COUNTIF('专业组'!$B$5:$B$104,D25)=0,"不通过：专业组编码不存在",IF(COUNTIF('标本容器'!$B$5:$B$104,H25)=0,"不通过：标本编码不存在",IF(AND(E25="数值",OR(F25="",G25="")),"不通过：数值项目缺小数位或单位",IF(AND(E25="数值",COUNTIF('结果单位'!$B$5:$B$104,G25)=0),"不通过：单位编码不存在","通过")))))))</x:f>
      </x:c>
    </x:row>
    <x:row r="26">
      <x:c r="A26" s="22"/>
      <x:c r="B26" s="22"/>
      <x:c r="C26" s="22"/>
      <x:c r="D26" s="22"/>
      <x:c r="E26" s="22"/>
      <x:c r="F26" s="34"/>
      <x:c r="G26" s="22"/>
      <x:c r="H26" s="22"/>
      <x:c r="I26" s="34"/>
      <x:c r="J26" s="22"/>
      <x:c r="K26" s="22"/>
      <x:c r="L26" s="22"/>
      <x:c r="M26" s="31"/>
      <x:c r="N26" s="31"/>
      <x:c r="O26" s="22"/>
      <x:c r="P26" s="22"/>
      <x:c r="Q26" s="28" t="str">
        <x:f>IF(COUNTA(A26:P26)=0,"",IF(OR(A26="",B26="",C26="",D26="",E26="",H26="",I26="",J26="",K26="",O26=""),"不通过：缺少必填项",IF(COUNTIF($B$5:$B$104,B26)&gt;1,"不通过：编码重复",IF(COUNTIF('专业组'!$B$5:$B$104,D26)=0,"不通过：专业组编码不存在",IF(COUNTIF('标本容器'!$B$5:$B$104,H26)=0,"不通过：标本编码不存在",IF(AND(E26="数值",OR(F26="",G26="")),"不通过：数值项目缺小数位或单位",IF(AND(E26="数值",COUNTIF('结果单位'!$B$5:$B$104,G26)=0),"不通过：单位编码不存在","通过")))))))</x:f>
      </x:c>
    </x:row>
    <x:row r="27">
      <x:c r="A27" s="22"/>
      <x:c r="B27" s="22"/>
      <x:c r="C27" s="22"/>
      <x:c r="D27" s="22"/>
      <x:c r="E27" s="22"/>
      <x:c r="F27" s="34"/>
      <x:c r="G27" s="22"/>
      <x:c r="H27" s="22"/>
      <x:c r="I27" s="34"/>
      <x:c r="J27" s="22"/>
      <x:c r="K27" s="22"/>
      <x:c r="L27" s="22"/>
      <x:c r="M27" s="31"/>
      <x:c r="N27" s="31"/>
      <x:c r="O27" s="22"/>
      <x:c r="P27" s="22"/>
      <x:c r="Q27" s="28" t="str">
        <x:f>IF(COUNTA(A27:P27)=0,"",IF(OR(A27="",B27="",C27="",D27="",E27="",H27="",I27="",J27="",K27="",O27=""),"不通过：缺少必填项",IF(COUNTIF($B$5:$B$104,B27)&gt;1,"不通过：编码重复",IF(COUNTIF('专业组'!$B$5:$B$104,D27)=0,"不通过：专业组编码不存在",IF(COUNTIF('标本容器'!$B$5:$B$104,H27)=0,"不通过：标本编码不存在",IF(AND(E27="数值",OR(F27="",G27="")),"不通过：数值项目缺小数位或单位",IF(AND(E27="数值",COUNTIF('结果单位'!$B$5:$B$104,G27)=0),"不通过：单位编码不存在","通过")))))))</x:f>
      </x:c>
    </x:row>
    <x:row r="28">
      <x:c r="A28" s="22"/>
      <x:c r="B28" s="22"/>
      <x:c r="C28" s="22"/>
      <x:c r="D28" s="22"/>
      <x:c r="E28" s="22"/>
      <x:c r="F28" s="34"/>
      <x:c r="G28" s="22"/>
      <x:c r="H28" s="22"/>
      <x:c r="I28" s="34"/>
      <x:c r="J28" s="22"/>
      <x:c r="K28" s="22"/>
      <x:c r="L28" s="22"/>
      <x:c r="M28" s="31"/>
      <x:c r="N28" s="31"/>
      <x:c r="O28" s="22"/>
      <x:c r="P28" s="22"/>
      <x:c r="Q28" s="28" t="str">
        <x:f>IF(COUNTA(A28:P28)=0,"",IF(OR(A28="",B28="",C28="",D28="",E28="",H28="",I28="",J28="",K28="",O28=""),"不通过：缺少必填项",IF(COUNTIF($B$5:$B$104,B28)&gt;1,"不通过：编码重复",IF(COUNTIF('专业组'!$B$5:$B$104,D28)=0,"不通过：专业组编码不存在",IF(COUNTIF('标本容器'!$B$5:$B$104,H28)=0,"不通过：标本编码不存在",IF(AND(E28="数值",OR(F28="",G28="")),"不通过：数值项目缺小数位或单位",IF(AND(E28="数值",COUNTIF('结果单位'!$B$5:$B$104,G28)=0),"不通过：单位编码不存在","通过")))))))</x:f>
      </x:c>
    </x:row>
    <x:row r="29">
      <x:c r="A29" s="22"/>
      <x:c r="B29" s="22"/>
      <x:c r="C29" s="22"/>
      <x:c r="D29" s="22"/>
      <x:c r="E29" s="22"/>
      <x:c r="F29" s="34"/>
      <x:c r="G29" s="22"/>
      <x:c r="H29" s="22"/>
      <x:c r="I29" s="34"/>
      <x:c r="J29" s="22"/>
      <x:c r="K29" s="22"/>
      <x:c r="L29" s="22"/>
      <x:c r="M29" s="31"/>
      <x:c r="N29" s="31"/>
      <x:c r="O29" s="22"/>
      <x:c r="P29" s="22"/>
      <x:c r="Q29" s="28" t="str">
        <x:f>IF(COUNTA(A29:P29)=0,"",IF(OR(A29="",B29="",C29="",D29="",E29="",H29="",I29="",J29="",K29="",O29=""),"不通过：缺少必填项",IF(COUNTIF($B$5:$B$104,B29)&gt;1,"不通过：编码重复",IF(COUNTIF('专业组'!$B$5:$B$104,D29)=0,"不通过：专业组编码不存在",IF(COUNTIF('标本容器'!$B$5:$B$104,H29)=0,"不通过：标本编码不存在",IF(AND(E29="数值",OR(F29="",G29="")),"不通过：数值项目缺小数位或单位",IF(AND(E29="数值",COUNTIF('结果单位'!$B$5:$B$104,G29)=0),"不通过：单位编码不存在","通过")))))))</x:f>
      </x:c>
    </x:row>
    <x:row r="30">
      <x:c r="A30" s="22"/>
      <x:c r="B30" s="22"/>
      <x:c r="C30" s="22"/>
      <x:c r="D30" s="22"/>
      <x:c r="E30" s="22"/>
      <x:c r="F30" s="34"/>
      <x:c r="G30" s="22"/>
      <x:c r="H30" s="22"/>
      <x:c r="I30" s="34"/>
      <x:c r="J30" s="22"/>
      <x:c r="K30" s="22"/>
      <x:c r="L30" s="22"/>
      <x:c r="M30" s="31"/>
      <x:c r="N30" s="31"/>
      <x:c r="O30" s="22"/>
      <x:c r="P30" s="22"/>
      <x:c r="Q30" s="28" t="str">
        <x:f>IF(COUNTA(A30:P30)=0,"",IF(OR(A30="",B30="",C30="",D30="",E30="",H30="",I30="",J30="",K30="",O30=""),"不通过：缺少必填项",IF(COUNTIF($B$5:$B$104,B30)&gt;1,"不通过：编码重复",IF(COUNTIF('专业组'!$B$5:$B$104,D30)=0,"不通过：专业组编码不存在",IF(COUNTIF('标本容器'!$B$5:$B$104,H30)=0,"不通过：标本编码不存在",IF(AND(E30="数值",OR(F30="",G30="")),"不通过：数值项目缺小数位或单位",IF(AND(E30="数值",COUNTIF('结果单位'!$B$5:$B$104,G30)=0),"不通过：单位编码不存在","通过")))))))</x:f>
      </x:c>
    </x:row>
    <x:row r="31">
      <x:c r="A31" s="22"/>
      <x:c r="B31" s="22"/>
      <x:c r="C31" s="22"/>
      <x:c r="D31" s="22"/>
      <x:c r="E31" s="22"/>
      <x:c r="F31" s="34"/>
      <x:c r="G31" s="22"/>
      <x:c r="H31" s="22"/>
      <x:c r="I31" s="34"/>
      <x:c r="J31" s="22"/>
      <x:c r="K31" s="22"/>
      <x:c r="L31" s="22"/>
      <x:c r="M31" s="31"/>
      <x:c r="N31" s="31"/>
      <x:c r="O31" s="22"/>
      <x:c r="P31" s="22"/>
      <x:c r="Q31" s="28" t="str">
        <x:f>IF(COUNTA(A31:P31)=0,"",IF(OR(A31="",B31="",C31="",D31="",E31="",H31="",I31="",J31="",K31="",O31=""),"不通过：缺少必填项",IF(COUNTIF($B$5:$B$104,B31)&gt;1,"不通过：编码重复",IF(COUNTIF('专业组'!$B$5:$B$104,D31)=0,"不通过：专业组编码不存在",IF(COUNTIF('标本容器'!$B$5:$B$104,H31)=0,"不通过：标本编码不存在",IF(AND(E31="数值",OR(F31="",G31="")),"不通过：数值项目缺小数位或单位",IF(AND(E31="数值",COUNTIF('结果单位'!$B$5:$B$104,G31)=0),"不通过：单位编码不存在","通过")))))))</x:f>
      </x:c>
    </x:row>
    <x:row r="32">
      <x:c r="A32" s="22"/>
      <x:c r="B32" s="22"/>
      <x:c r="C32" s="22"/>
      <x:c r="D32" s="22"/>
      <x:c r="E32" s="22"/>
      <x:c r="F32" s="34"/>
      <x:c r="G32" s="22"/>
      <x:c r="H32" s="22"/>
      <x:c r="I32" s="34"/>
      <x:c r="J32" s="22"/>
      <x:c r="K32" s="22"/>
      <x:c r="L32" s="22"/>
      <x:c r="M32" s="31"/>
      <x:c r="N32" s="31"/>
      <x:c r="O32" s="22"/>
      <x:c r="P32" s="22"/>
      <x:c r="Q32" s="28" t="str">
        <x:f>IF(COUNTA(A32:P32)=0,"",IF(OR(A32="",B32="",C32="",D32="",E32="",H32="",I32="",J32="",K32="",O32=""),"不通过：缺少必填项",IF(COUNTIF($B$5:$B$104,B32)&gt;1,"不通过：编码重复",IF(COUNTIF('专业组'!$B$5:$B$104,D32)=0,"不通过：专业组编码不存在",IF(COUNTIF('标本容器'!$B$5:$B$104,H32)=0,"不通过：标本编码不存在",IF(AND(E32="数值",OR(F32="",G32="")),"不通过：数值项目缺小数位或单位",IF(AND(E32="数值",COUNTIF('结果单位'!$B$5:$B$104,G32)=0),"不通过：单位编码不存在","通过")))))))</x:f>
      </x:c>
    </x:row>
    <x:row r="33">
      <x:c r="A33" s="22"/>
      <x:c r="B33" s="22"/>
      <x:c r="C33" s="22"/>
      <x:c r="D33" s="22"/>
      <x:c r="E33" s="22"/>
      <x:c r="F33" s="34"/>
      <x:c r="G33" s="22"/>
      <x:c r="H33" s="22"/>
      <x:c r="I33" s="34"/>
      <x:c r="J33" s="22"/>
      <x:c r="K33" s="22"/>
      <x:c r="L33" s="22"/>
      <x:c r="M33" s="31"/>
      <x:c r="N33" s="31"/>
      <x:c r="O33" s="22"/>
      <x:c r="P33" s="22"/>
      <x:c r="Q33" s="28" t="str">
        <x:f>IF(COUNTA(A33:P33)=0,"",IF(OR(A33="",B33="",C33="",D33="",E33="",H33="",I33="",J33="",K33="",O33=""),"不通过：缺少必填项",IF(COUNTIF($B$5:$B$104,B33)&gt;1,"不通过：编码重复",IF(COUNTIF('专业组'!$B$5:$B$104,D33)=0,"不通过：专业组编码不存在",IF(COUNTIF('标本容器'!$B$5:$B$104,H33)=0,"不通过：标本编码不存在",IF(AND(E33="数值",OR(F33="",G33="")),"不通过：数值项目缺小数位或单位",IF(AND(E33="数值",COUNTIF('结果单位'!$B$5:$B$104,G33)=0),"不通过：单位编码不存在","通过")))))))</x:f>
      </x:c>
    </x:row>
    <x:row r="34">
      <x:c r="A34" s="22"/>
      <x:c r="B34" s="22"/>
      <x:c r="C34" s="22"/>
      <x:c r="D34" s="22"/>
      <x:c r="E34" s="22"/>
      <x:c r="F34" s="34"/>
      <x:c r="G34" s="22"/>
      <x:c r="H34" s="22"/>
      <x:c r="I34" s="34"/>
      <x:c r="J34" s="22"/>
      <x:c r="K34" s="22"/>
      <x:c r="L34" s="22"/>
      <x:c r="M34" s="31"/>
      <x:c r="N34" s="31"/>
      <x:c r="O34" s="22"/>
      <x:c r="P34" s="22"/>
      <x:c r="Q34" s="28" t="str">
        <x:f>IF(COUNTA(A34:P34)=0,"",IF(OR(A34="",B34="",C34="",D34="",E34="",H34="",I34="",J34="",K34="",O34=""),"不通过：缺少必填项",IF(COUNTIF($B$5:$B$104,B34)&gt;1,"不通过：编码重复",IF(COUNTIF('专业组'!$B$5:$B$104,D34)=0,"不通过：专业组编码不存在",IF(COUNTIF('标本容器'!$B$5:$B$104,H34)=0,"不通过：标本编码不存在",IF(AND(E34="数值",OR(F34="",G34="")),"不通过：数值项目缺小数位或单位",IF(AND(E34="数值",COUNTIF('结果单位'!$B$5:$B$104,G34)=0),"不通过：单位编码不存在","通过")))))))</x:f>
      </x:c>
    </x:row>
    <x:row r="35">
      <x:c r="A35" s="22"/>
      <x:c r="B35" s="22"/>
      <x:c r="C35" s="22"/>
      <x:c r="D35" s="22"/>
      <x:c r="E35" s="22"/>
      <x:c r="F35" s="34"/>
      <x:c r="G35" s="22"/>
      <x:c r="H35" s="22"/>
      <x:c r="I35" s="34"/>
      <x:c r="J35" s="22"/>
      <x:c r="K35" s="22"/>
      <x:c r="L35" s="22"/>
      <x:c r="M35" s="31"/>
      <x:c r="N35" s="31"/>
      <x:c r="O35" s="22"/>
      <x:c r="P35" s="22"/>
      <x:c r="Q35" s="28" t="str">
        <x:f>IF(COUNTA(A35:P35)=0,"",IF(OR(A35="",B35="",C35="",D35="",E35="",H35="",I35="",J35="",K35="",O35=""),"不通过：缺少必填项",IF(COUNTIF($B$5:$B$104,B35)&gt;1,"不通过：编码重复",IF(COUNTIF('专业组'!$B$5:$B$104,D35)=0,"不通过：专业组编码不存在",IF(COUNTIF('标本容器'!$B$5:$B$104,H35)=0,"不通过：标本编码不存在",IF(AND(E35="数值",OR(F35="",G35="")),"不通过：数值项目缺小数位或单位",IF(AND(E35="数值",COUNTIF('结果单位'!$B$5:$B$104,G35)=0),"不通过：单位编码不存在","通过")))))))</x:f>
      </x:c>
    </x:row>
    <x:row r="36">
      <x:c r="A36" s="22"/>
      <x:c r="B36" s="22"/>
      <x:c r="C36" s="22"/>
      <x:c r="D36" s="22"/>
      <x:c r="E36" s="22"/>
      <x:c r="F36" s="34"/>
      <x:c r="G36" s="22"/>
      <x:c r="H36" s="22"/>
      <x:c r="I36" s="34"/>
      <x:c r="J36" s="22"/>
      <x:c r="K36" s="22"/>
      <x:c r="L36" s="22"/>
      <x:c r="M36" s="31"/>
      <x:c r="N36" s="31"/>
      <x:c r="O36" s="22"/>
      <x:c r="P36" s="22"/>
      <x:c r="Q36" s="28" t="str">
        <x:f>IF(COUNTA(A36:P36)=0,"",IF(OR(A36="",B36="",C36="",D36="",E36="",H36="",I36="",J36="",K36="",O36=""),"不通过：缺少必填项",IF(COUNTIF($B$5:$B$104,B36)&gt;1,"不通过：编码重复",IF(COUNTIF('专业组'!$B$5:$B$104,D36)=0,"不通过：专业组编码不存在",IF(COUNTIF('标本容器'!$B$5:$B$104,H36)=0,"不通过：标本编码不存在",IF(AND(E36="数值",OR(F36="",G36="")),"不通过：数值项目缺小数位或单位",IF(AND(E36="数值",COUNTIF('结果单位'!$B$5:$B$104,G36)=0),"不通过：单位编码不存在","通过")))))))</x:f>
      </x:c>
    </x:row>
    <x:row r="37">
      <x:c r="A37" s="22"/>
      <x:c r="B37" s="22"/>
      <x:c r="C37" s="22"/>
      <x:c r="D37" s="22"/>
      <x:c r="E37" s="22"/>
      <x:c r="F37" s="34"/>
      <x:c r="G37" s="22"/>
      <x:c r="H37" s="22"/>
      <x:c r="I37" s="34"/>
      <x:c r="J37" s="22"/>
      <x:c r="K37" s="22"/>
      <x:c r="L37" s="22"/>
      <x:c r="M37" s="31"/>
      <x:c r="N37" s="31"/>
      <x:c r="O37" s="22"/>
      <x:c r="P37" s="22"/>
      <x:c r="Q37" s="28" t="str">
        <x:f>IF(COUNTA(A37:P37)=0,"",IF(OR(A37="",B37="",C37="",D37="",E37="",H37="",I37="",J37="",K37="",O37=""),"不通过：缺少必填项",IF(COUNTIF($B$5:$B$104,B37)&gt;1,"不通过：编码重复",IF(COUNTIF('专业组'!$B$5:$B$104,D37)=0,"不通过：专业组编码不存在",IF(COUNTIF('标本容器'!$B$5:$B$104,H37)=0,"不通过：标本编码不存在",IF(AND(E37="数值",OR(F37="",G37="")),"不通过：数值项目缺小数位或单位",IF(AND(E37="数值",COUNTIF('结果单位'!$B$5:$B$104,G37)=0),"不通过：单位编码不存在","通过")))))))</x:f>
      </x:c>
    </x:row>
    <x:row r="38">
      <x:c r="A38" s="22"/>
      <x:c r="B38" s="22"/>
      <x:c r="C38" s="22"/>
      <x:c r="D38" s="22"/>
      <x:c r="E38" s="22"/>
      <x:c r="F38" s="34"/>
      <x:c r="G38" s="22"/>
      <x:c r="H38" s="22"/>
      <x:c r="I38" s="34"/>
      <x:c r="J38" s="22"/>
      <x:c r="K38" s="22"/>
      <x:c r="L38" s="22"/>
      <x:c r="M38" s="31"/>
      <x:c r="N38" s="31"/>
      <x:c r="O38" s="22"/>
      <x:c r="P38" s="22"/>
      <x:c r="Q38" s="28" t="str">
        <x:f>IF(COUNTA(A38:P38)=0,"",IF(OR(A38="",B38="",C38="",D38="",E38="",H38="",I38="",J38="",K38="",O38=""),"不通过：缺少必填项",IF(COUNTIF($B$5:$B$104,B38)&gt;1,"不通过：编码重复",IF(COUNTIF('专业组'!$B$5:$B$104,D38)=0,"不通过：专业组编码不存在",IF(COUNTIF('标本容器'!$B$5:$B$104,H38)=0,"不通过：标本编码不存在",IF(AND(E38="数值",OR(F38="",G38="")),"不通过：数值项目缺小数位或单位",IF(AND(E38="数值",COUNTIF('结果单位'!$B$5:$B$104,G38)=0),"不通过：单位编码不存在","通过")))))))</x:f>
      </x:c>
    </x:row>
    <x:row r="39">
      <x:c r="A39" s="22"/>
      <x:c r="B39" s="22"/>
      <x:c r="C39" s="22"/>
      <x:c r="D39" s="22"/>
      <x:c r="E39" s="22"/>
      <x:c r="F39" s="34"/>
      <x:c r="G39" s="22"/>
      <x:c r="H39" s="22"/>
      <x:c r="I39" s="34"/>
      <x:c r="J39" s="22"/>
      <x:c r="K39" s="22"/>
      <x:c r="L39" s="22"/>
      <x:c r="M39" s="31"/>
      <x:c r="N39" s="31"/>
      <x:c r="O39" s="22"/>
      <x:c r="P39" s="22"/>
      <x:c r="Q39" s="28" t="str">
        <x:f>IF(COUNTA(A39:P39)=0,"",IF(OR(A39="",B39="",C39="",D39="",E39="",H39="",I39="",J39="",K39="",O39=""),"不通过：缺少必填项",IF(COUNTIF($B$5:$B$104,B39)&gt;1,"不通过：编码重复",IF(COUNTIF('专业组'!$B$5:$B$104,D39)=0,"不通过：专业组编码不存在",IF(COUNTIF('标本容器'!$B$5:$B$104,H39)=0,"不通过：标本编码不存在",IF(AND(E39="数值",OR(F39="",G39="")),"不通过：数值项目缺小数位或单位",IF(AND(E39="数值",COUNTIF('结果单位'!$B$5:$B$104,G39)=0),"不通过：单位编码不存在","通过")))))))</x:f>
      </x:c>
    </x:row>
    <x:row r="40">
      <x:c r="A40" s="22"/>
      <x:c r="B40" s="22"/>
      <x:c r="C40" s="22"/>
      <x:c r="D40" s="22"/>
      <x:c r="E40" s="22"/>
      <x:c r="F40" s="34"/>
      <x:c r="G40" s="22"/>
      <x:c r="H40" s="22"/>
      <x:c r="I40" s="34"/>
      <x:c r="J40" s="22"/>
      <x:c r="K40" s="22"/>
      <x:c r="L40" s="22"/>
      <x:c r="M40" s="31"/>
      <x:c r="N40" s="31"/>
      <x:c r="O40" s="22"/>
      <x:c r="P40" s="22"/>
      <x:c r="Q40" s="28" t="str">
        <x:f>IF(COUNTA(A40:P40)=0,"",IF(OR(A40="",B40="",C40="",D40="",E40="",H40="",I40="",J40="",K40="",O40=""),"不通过：缺少必填项",IF(COUNTIF($B$5:$B$104,B40)&gt;1,"不通过：编码重复",IF(COUNTIF('专业组'!$B$5:$B$104,D40)=0,"不通过：专业组编码不存在",IF(COUNTIF('标本容器'!$B$5:$B$104,H40)=0,"不通过：标本编码不存在",IF(AND(E40="数值",OR(F40="",G40="")),"不通过：数值项目缺小数位或单位",IF(AND(E40="数值",COUNTIF('结果单位'!$B$5:$B$104,G40)=0),"不通过：单位编码不存在","通过")))))))</x:f>
      </x:c>
    </x:row>
    <x:row r="41">
      <x:c r="A41" s="22"/>
      <x:c r="B41" s="22"/>
      <x:c r="C41" s="22"/>
      <x:c r="D41" s="22"/>
      <x:c r="E41" s="22"/>
      <x:c r="F41" s="34"/>
      <x:c r="G41" s="22"/>
      <x:c r="H41" s="22"/>
      <x:c r="I41" s="34"/>
      <x:c r="J41" s="22"/>
      <x:c r="K41" s="22"/>
      <x:c r="L41" s="22"/>
      <x:c r="M41" s="31"/>
      <x:c r="N41" s="31"/>
      <x:c r="O41" s="22"/>
      <x:c r="P41" s="22"/>
      <x:c r="Q41" s="28" t="str">
        <x:f>IF(COUNTA(A41:P41)=0,"",IF(OR(A41="",B41="",C41="",D41="",E41="",H41="",I41="",J41="",K41="",O41=""),"不通过：缺少必填项",IF(COUNTIF($B$5:$B$104,B41)&gt;1,"不通过：编码重复",IF(COUNTIF('专业组'!$B$5:$B$104,D41)=0,"不通过：专业组编码不存在",IF(COUNTIF('标本容器'!$B$5:$B$104,H41)=0,"不通过：标本编码不存在",IF(AND(E41="数值",OR(F41="",G41="")),"不通过：数值项目缺小数位或单位",IF(AND(E41="数值",COUNTIF('结果单位'!$B$5:$B$104,G41)=0),"不通过：单位编码不存在","通过")))))))</x:f>
      </x:c>
    </x:row>
    <x:row r="42">
      <x:c r="A42" s="22"/>
      <x:c r="B42" s="22"/>
      <x:c r="C42" s="22"/>
      <x:c r="D42" s="22"/>
      <x:c r="E42" s="22"/>
      <x:c r="F42" s="34"/>
      <x:c r="G42" s="22"/>
      <x:c r="H42" s="22"/>
      <x:c r="I42" s="34"/>
      <x:c r="J42" s="22"/>
      <x:c r="K42" s="22"/>
      <x:c r="L42" s="22"/>
      <x:c r="M42" s="31"/>
      <x:c r="N42" s="31"/>
      <x:c r="O42" s="22"/>
      <x:c r="P42" s="22"/>
      <x:c r="Q42" s="28" t="str">
        <x:f>IF(COUNTA(A42:P42)=0,"",IF(OR(A42="",B42="",C42="",D42="",E42="",H42="",I42="",J42="",K42="",O42=""),"不通过：缺少必填项",IF(COUNTIF($B$5:$B$104,B42)&gt;1,"不通过：编码重复",IF(COUNTIF('专业组'!$B$5:$B$104,D42)=0,"不通过：专业组编码不存在",IF(COUNTIF('标本容器'!$B$5:$B$104,H42)=0,"不通过：标本编码不存在",IF(AND(E42="数值",OR(F42="",G42="")),"不通过：数值项目缺小数位或单位",IF(AND(E42="数值",COUNTIF('结果单位'!$B$5:$B$104,G42)=0),"不通过：单位编码不存在","通过")))))))</x:f>
      </x:c>
    </x:row>
    <x:row r="43">
      <x:c r="A43" s="22"/>
      <x:c r="B43" s="22"/>
      <x:c r="C43" s="22"/>
      <x:c r="D43" s="22"/>
      <x:c r="E43" s="22"/>
      <x:c r="F43" s="34"/>
      <x:c r="G43" s="22"/>
      <x:c r="H43" s="22"/>
      <x:c r="I43" s="34"/>
      <x:c r="J43" s="22"/>
      <x:c r="K43" s="22"/>
      <x:c r="L43" s="22"/>
      <x:c r="M43" s="31"/>
      <x:c r="N43" s="31"/>
      <x:c r="O43" s="22"/>
      <x:c r="P43" s="22"/>
      <x:c r="Q43" s="28" t="str">
        <x:f>IF(COUNTA(A43:P43)=0,"",IF(OR(A43="",B43="",C43="",D43="",E43="",H43="",I43="",J43="",K43="",O43=""),"不通过：缺少必填项",IF(COUNTIF($B$5:$B$104,B43)&gt;1,"不通过：编码重复",IF(COUNTIF('专业组'!$B$5:$B$104,D43)=0,"不通过：专业组编码不存在",IF(COUNTIF('标本容器'!$B$5:$B$104,H43)=0,"不通过：标本编码不存在",IF(AND(E43="数值",OR(F43="",G43="")),"不通过：数值项目缺小数位或单位",IF(AND(E43="数值",COUNTIF('结果单位'!$B$5:$B$104,G43)=0),"不通过：单位编码不存在","通过")))))))</x:f>
      </x:c>
    </x:row>
    <x:row r="44">
      <x:c r="A44" s="22"/>
      <x:c r="B44" s="22"/>
      <x:c r="C44" s="22"/>
      <x:c r="D44" s="22"/>
      <x:c r="E44" s="22"/>
      <x:c r="F44" s="34"/>
      <x:c r="G44" s="22"/>
      <x:c r="H44" s="22"/>
      <x:c r="I44" s="34"/>
      <x:c r="J44" s="22"/>
      <x:c r="K44" s="22"/>
      <x:c r="L44" s="22"/>
      <x:c r="M44" s="31"/>
      <x:c r="N44" s="31"/>
      <x:c r="O44" s="22"/>
      <x:c r="P44" s="22"/>
      <x:c r="Q44" s="28" t="str">
        <x:f>IF(COUNTA(A44:P44)=0,"",IF(OR(A44="",B44="",C44="",D44="",E44="",H44="",I44="",J44="",K44="",O44=""),"不通过：缺少必填项",IF(COUNTIF($B$5:$B$104,B44)&gt;1,"不通过：编码重复",IF(COUNTIF('专业组'!$B$5:$B$104,D44)=0,"不通过：专业组编码不存在",IF(COUNTIF('标本容器'!$B$5:$B$104,H44)=0,"不通过：标本编码不存在",IF(AND(E44="数值",OR(F44="",G44="")),"不通过：数值项目缺小数位或单位",IF(AND(E44="数值",COUNTIF('结果单位'!$B$5:$B$104,G44)=0),"不通过：单位编码不存在","通过")))))))</x:f>
      </x:c>
    </x:row>
    <x:row r="45">
      <x:c r="A45" s="22"/>
      <x:c r="B45" s="22"/>
      <x:c r="C45" s="22"/>
      <x:c r="D45" s="22"/>
      <x:c r="E45" s="22"/>
      <x:c r="F45" s="34"/>
      <x:c r="G45" s="22"/>
      <x:c r="H45" s="22"/>
      <x:c r="I45" s="34"/>
      <x:c r="J45" s="22"/>
      <x:c r="K45" s="22"/>
      <x:c r="L45" s="22"/>
      <x:c r="M45" s="31"/>
      <x:c r="N45" s="31"/>
      <x:c r="O45" s="22"/>
      <x:c r="P45" s="22"/>
      <x:c r="Q45" s="28" t="str">
        <x:f>IF(COUNTA(A45:P45)=0,"",IF(OR(A45="",B45="",C45="",D45="",E45="",H45="",I45="",J45="",K45="",O45=""),"不通过：缺少必填项",IF(COUNTIF($B$5:$B$104,B45)&gt;1,"不通过：编码重复",IF(COUNTIF('专业组'!$B$5:$B$104,D45)=0,"不通过：专业组编码不存在",IF(COUNTIF('标本容器'!$B$5:$B$104,H45)=0,"不通过：标本编码不存在",IF(AND(E45="数值",OR(F45="",G45="")),"不通过：数值项目缺小数位或单位",IF(AND(E45="数值",COUNTIF('结果单位'!$B$5:$B$104,G45)=0),"不通过：单位编码不存在","通过")))))))</x:f>
      </x:c>
    </x:row>
    <x:row r="46">
      <x:c r="A46" s="22"/>
      <x:c r="B46" s="22"/>
      <x:c r="C46" s="22"/>
      <x:c r="D46" s="22"/>
      <x:c r="E46" s="22"/>
      <x:c r="F46" s="34"/>
      <x:c r="G46" s="22"/>
      <x:c r="H46" s="22"/>
      <x:c r="I46" s="34"/>
      <x:c r="J46" s="22"/>
      <x:c r="K46" s="22"/>
      <x:c r="L46" s="22"/>
      <x:c r="M46" s="31"/>
      <x:c r="N46" s="31"/>
      <x:c r="O46" s="22"/>
      <x:c r="P46" s="22"/>
      <x:c r="Q46" s="28" t="str">
        <x:f>IF(COUNTA(A46:P46)=0,"",IF(OR(A46="",B46="",C46="",D46="",E46="",H46="",I46="",J46="",K46="",O46=""),"不通过：缺少必填项",IF(COUNTIF($B$5:$B$104,B46)&gt;1,"不通过：编码重复",IF(COUNTIF('专业组'!$B$5:$B$104,D46)=0,"不通过：专业组编码不存在",IF(COUNTIF('标本容器'!$B$5:$B$104,H46)=0,"不通过：标本编码不存在",IF(AND(E46="数值",OR(F46="",G46="")),"不通过：数值项目缺小数位或单位",IF(AND(E46="数值",COUNTIF('结果单位'!$B$5:$B$104,G46)=0),"不通过：单位编码不存在","通过")))))))</x:f>
      </x:c>
    </x:row>
    <x:row r="47">
      <x:c r="A47" s="22"/>
      <x:c r="B47" s="22"/>
      <x:c r="C47" s="22"/>
      <x:c r="D47" s="22"/>
      <x:c r="E47" s="22"/>
      <x:c r="F47" s="34"/>
      <x:c r="G47" s="22"/>
      <x:c r="H47" s="22"/>
      <x:c r="I47" s="34"/>
      <x:c r="J47" s="22"/>
      <x:c r="K47" s="22"/>
      <x:c r="L47" s="22"/>
      <x:c r="M47" s="31"/>
      <x:c r="N47" s="31"/>
      <x:c r="O47" s="22"/>
      <x:c r="P47" s="22"/>
      <x:c r="Q47" s="28" t="str">
        <x:f>IF(COUNTA(A47:P47)=0,"",IF(OR(A47="",B47="",C47="",D47="",E47="",H47="",I47="",J47="",K47="",O47=""),"不通过：缺少必填项",IF(COUNTIF($B$5:$B$104,B47)&gt;1,"不通过：编码重复",IF(COUNTIF('专业组'!$B$5:$B$104,D47)=0,"不通过：专业组编码不存在",IF(COUNTIF('标本容器'!$B$5:$B$104,H47)=0,"不通过：标本编码不存在",IF(AND(E47="数值",OR(F47="",G47="")),"不通过：数值项目缺小数位或单位",IF(AND(E47="数值",COUNTIF('结果单位'!$B$5:$B$104,G47)=0),"不通过：单位编码不存在","通过")))))))</x:f>
      </x:c>
    </x:row>
    <x:row r="48">
      <x:c r="A48" s="22"/>
      <x:c r="B48" s="22"/>
      <x:c r="C48" s="22"/>
      <x:c r="D48" s="22"/>
      <x:c r="E48" s="22"/>
      <x:c r="F48" s="34"/>
      <x:c r="G48" s="22"/>
      <x:c r="H48" s="22"/>
      <x:c r="I48" s="34"/>
      <x:c r="J48" s="22"/>
      <x:c r="K48" s="22"/>
      <x:c r="L48" s="22"/>
      <x:c r="M48" s="31"/>
      <x:c r="N48" s="31"/>
      <x:c r="O48" s="22"/>
      <x:c r="P48" s="22"/>
      <x:c r="Q48" s="28" t="str">
        <x:f>IF(COUNTA(A48:P48)=0,"",IF(OR(A48="",B48="",C48="",D48="",E48="",H48="",I48="",J48="",K48="",O48=""),"不通过：缺少必填项",IF(COUNTIF($B$5:$B$104,B48)&gt;1,"不通过：编码重复",IF(COUNTIF('专业组'!$B$5:$B$104,D48)=0,"不通过：专业组编码不存在",IF(COUNTIF('标本容器'!$B$5:$B$104,H48)=0,"不通过：标本编码不存在",IF(AND(E48="数值",OR(F48="",G48="")),"不通过：数值项目缺小数位或单位",IF(AND(E48="数值",COUNTIF('结果单位'!$B$5:$B$104,G48)=0),"不通过：单位编码不存在","通过")))))))</x:f>
      </x:c>
    </x:row>
    <x:row r="49">
      <x:c r="A49" s="22"/>
      <x:c r="B49" s="22"/>
      <x:c r="C49" s="22"/>
      <x:c r="D49" s="22"/>
      <x:c r="E49" s="22"/>
      <x:c r="F49" s="34"/>
      <x:c r="G49" s="22"/>
      <x:c r="H49" s="22"/>
      <x:c r="I49" s="34"/>
      <x:c r="J49" s="22"/>
      <x:c r="K49" s="22"/>
      <x:c r="L49" s="22"/>
      <x:c r="M49" s="31"/>
      <x:c r="N49" s="31"/>
      <x:c r="O49" s="22"/>
      <x:c r="P49" s="22"/>
      <x:c r="Q49" s="28" t="str">
        <x:f>IF(COUNTA(A49:P49)=0,"",IF(OR(A49="",B49="",C49="",D49="",E49="",H49="",I49="",J49="",K49="",O49=""),"不通过：缺少必填项",IF(COUNTIF($B$5:$B$104,B49)&gt;1,"不通过：编码重复",IF(COUNTIF('专业组'!$B$5:$B$104,D49)=0,"不通过：专业组编码不存在",IF(COUNTIF('标本容器'!$B$5:$B$104,H49)=0,"不通过：标本编码不存在",IF(AND(E49="数值",OR(F49="",G49="")),"不通过：数值项目缺小数位或单位",IF(AND(E49="数值",COUNTIF('结果单位'!$B$5:$B$104,G49)=0),"不通过：单位编码不存在","通过")))))))</x:f>
      </x:c>
    </x:row>
    <x:row r="50">
      <x:c r="A50" s="22"/>
      <x:c r="B50" s="22"/>
      <x:c r="C50" s="22"/>
      <x:c r="D50" s="22"/>
      <x:c r="E50" s="22"/>
      <x:c r="F50" s="34"/>
      <x:c r="G50" s="22"/>
      <x:c r="H50" s="22"/>
      <x:c r="I50" s="34"/>
      <x:c r="J50" s="22"/>
      <x:c r="K50" s="22"/>
      <x:c r="L50" s="22"/>
      <x:c r="M50" s="31"/>
      <x:c r="N50" s="31"/>
      <x:c r="O50" s="22"/>
      <x:c r="P50" s="22"/>
      <x:c r="Q50" s="28" t="str">
        <x:f>IF(COUNTA(A50:P50)=0,"",IF(OR(A50="",B50="",C50="",D50="",E50="",H50="",I50="",J50="",K50="",O50=""),"不通过：缺少必填项",IF(COUNTIF($B$5:$B$104,B50)&gt;1,"不通过：编码重复",IF(COUNTIF('专业组'!$B$5:$B$104,D50)=0,"不通过：专业组编码不存在",IF(COUNTIF('标本容器'!$B$5:$B$104,H50)=0,"不通过：标本编码不存在",IF(AND(E50="数值",OR(F50="",G50="")),"不通过：数值项目缺小数位或单位",IF(AND(E50="数值",COUNTIF('结果单位'!$B$5:$B$104,G50)=0),"不通过：单位编码不存在","通过")))))))</x:f>
      </x:c>
    </x:row>
    <x:row r="51">
      <x:c r="A51" s="22"/>
      <x:c r="B51" s="22"/>
      <x:c r="C51" s="22"/>
      <x:c r="D51" s="22"/>
      <x:c r="E51" s="22"/>
      <x:c r="F51" s="34"/>
      <x:c r="G51" s="22"/>
      <x:c r="H51" s="22"/>
      <x:c r="I51" s="34"/>
      <x:c r="J51" s="22"/>
      <x:c r="K51" s="22"/>
      <x:c r="L51" s="22"/>
      <x:c r="M51" s="31"/>
      <x:c r="N51" s="31"/>
      <x:c r="O51" s="22"/>
      <x:c r="P51" s="22"/>
      <x:c r="Q51" s="28" t="str">
        <x:f>IF(COUNTA(A51:P51)=0,"",IF(OR(A51="",B51="",C51="",D51="",E51="",H51="",I51="",J51="",K51="",O51=""),"不通过：缺少必填项",IF(COUNTIF($B$5:$B$104,B51)&gt;1,"不通过：编码重复",IF(COUNTIF('专业组'!$B$5:$B$104,D51)=0,"不通过：专业组编码不存在",IF(COUNTIF('标本容器'!$B$5:$B$104,H51)=0,"不通过：标本编码不存在",IF(AND(E51="数值",OR(F51="",G51="")),"不通过：数值项目缺小数位或单位",IF(AND(E51="数值",COUNTIF('结果单位'!$B$5:$B$104,G51)=0),"不通过：单位编码不存在","通过")))))))</x:f>
      </x:c>
    </x:row>
    <x:row r="52">
      <x:c r="A52" s="22"/>
      <x:c r="B52" s="22"/>
      <x:c r="C52" s="22"/>
      <x:c r="D52" s="22"/>
      <x:c r="E52" s="22"/>
      <x:c r="F52" s="34"/>
      <x:c r="G52" s="22"/>
      <x:c r="H52" s="22"/>
      <x:c r="I52" s="34"/>
      <x:c r="J52" s="22"/>
      <x:c r="K52" s="22"/>
      <x:c r="L52" s="22"/>
      <x:c r="M52" s="31"/>
      <x:c r="N52" s="31"/>
      <x:c r="O52" s="22"/>
      <x:c r="P52" s="22"/>
      <x:c r="Q52" s="28" t="str">
        <x:f>IF(COUNTA(A52:P52)=0,"",IF(OR(A52="",B52="",C52="",D52="",E52="",H52="",I52="",J52="",K52="",O52=""),"不通过：缺少必填项",IF(COUNTIF($B$5:$B$104,B52)&gt;1,"不通过：编码重复",IF(COUNTIF('专业组'!$B$5:$B$104,D52)=0,"不通过：专业组编码不存在",IF(COUNTIF('标本容器'!$B$5:$B$104,H52)=0,"不通过：标本编码不存在",IF(AND(E52="数值",OR(F52="",G52="")),"不通过：数值项目缺小数位或单位",IF(AND(E52="数值",COUNTIF('结果单位'!$B$5:$B$104,G52)=0),"不通过：单位编码不存在","通过")))))))</x:f>
      </x:c>
    </x:row>
    <x:row r="53">
      <x:c r="A53" s="22"/>
      <x:c r="B53" s="22"/>
      <x:c r="C53" s="22"/>
      <x:c r="D53" s="22"/>
      <x:c r="E53" s="22"/>
      <x:c r="F53" s="34"/>
      <x:c r="G53" s="22"/>
      <x:c r="H53" s="22"/>
      <x:c r="I53" s="34"/>
      <x:c r="J53" s="22"/>
      <x:c r="K53" s="22"/>
      <x:c r="L53" s="22"/>
      <x:c r="M53" s="31"/>
      <x:c r="N53" s="31"/>
      <x:c r="O53" s="22"/>
      <x:c r="P53" s="22"/>
      <x:c r="Q53" s="28" t="str">
        <x:f>IF(COUNTA(A53:P53)=0,"",IF(OR(A53="",B53="",C53="",D53="",E53="",H53="",I53="",J53="",K53="",O53=""),"不通过：缺少必填项",IF(COUNTIF($B$5:$B$104,B53)&gt;1,"不通过：编码重复",IF(COUNTIF('专业组'!$B$5:$B$104,D53)=0,"不通过：专业组编码不存在",IF(COUNTIF('标本容器'!$B$5:$B$104,H53)=0,"不通过：标本编码不存在",IF(AND(E53="数值",OR(F53="",G53="")),"不通过：数值项目缺小数位或单位",IF(AND(E53="数值",COUNTIF('结果单位'!$B$5:$B$104,G53)=0),"不通过：单位编码不存在","通过")))))))</x:f>
      </x:c>
    </x:row>
    <x:row r="54">
      <x:c r="A54" s="22"/>
      <x:c r="B54" s="22"/>
      <x:c r="C54" s="22"/>
      <x:c r="D54" s="22"/>
      <x:c r="E54" s="22"/>
      <x:c r="F54" s="34"/>
      <x:c r="G54" s="22"/>
      <x:c r="H54" s="22"/>
      <x:c r="I54" s="34"/>
      <x:c r="J54" s="22"/>
      <x:c r="K54" s="22"/>
      <x:c r="L54" s="22"/>
      <x:c r="M54" s="31"/>
      <x:c r="N54" s="31"/>
      <x:c r="O54" s="22"/>
      <x:c r="P54" s="22"/>
      <x:c r="Q54" s="28" t="str">
        <x:f>IF(COUNTA(A54:P54)=0,"",IF(OR(A54="",B54="",C54="",D54="",E54="",H54="",I54="",J54="",K54="",O54=""),"不通过：缺少必填项",IF(COUNTIF($B$5:$B$104,B54)&gt;1,"不通过：编码重复",IF(COUNTIF('专业组'!$B$5:$B$104,D54)=0,"不通过：专业组编码不存在",IF(COUNTIF('标本容器'!$B$5:$B$104,H54)=0,"不通过：标本编码不存在",IF(AND(E54="数值",OR(F54="",G54="")),"不通过：数值项目缺小数位或单位",IF(AND(E54="数值",COUNTIF('结果单位'!$B$5:$B$104,G54)=0),"不通过：单位编码不存在","通过")))))))</x:f>
      </x:c>
    </x:row>
    <x:row r="55">
      <x:c r="A55" s="22"/>
      <x:c r="B55" s="22"/>
      <x:c r="C55" s="22"/>
      <x:c r="D55" s="22"/>
      <x:c r="E55" s="22"/>
      <x:c r="F55" s="34"/>
      <x:c r="G55" s="22"/>
      <x:c r="H55" s="22"/>
      <x:c r="I55" s="34"/>
      <x:c r="J55" s="22"/>
      <x:c r="K55" s="22"/>
      <x:c r="L55" s="22"/>
      <x:c r="M55" s="31"/>
      <x:c r="N55" s="31"/>
      <x:c r="O55" s="22"/>
      <x:c r="P55" s="22"/>
      <x:c r="Q55" s="28" t="str">
        <x:f>IF(COUNTA(A55:P55)=0,"",IF(OR(A55="",B55="",C55="",D55="",E55="",H55="",I55="",J55="",K55="",O55=""),"不通过：缺少必填项",IF(COUNTIF($B$5:$B$104,B55)&gt;1,"不通过：编码重复",IF(COUNTIF('专业组'!$B$5:$B$104,D55)=0,"不通过：专业组编码不存在",IF(COUNTIF('标本容器'!$B$5:$B$104,H55)=0,"不通过：标本编码不存在",IF(AND(E55="数值",OR(F55="",G55="")),"不通过：数值项目缺小数位或单位",IF(AND(E55="数值",COUNTIF('结果单位'!$B$5:$B$104,G55)=0),"不通过：单位编码不存在","通过")))))))</x:f>
      </x:c>
    </x:row>
    <x:row r="56">
      <x:c r="A56" s="22"/>
      <x:c r="B56" s="22"/>
      <x:c r="C56" s="22"/>
      <x:c r="D56" s="22"/>
      <x:c r="E56" s="22"/>
      <x:c r="F56" s="34"/>
      <x:c r="G56" s="22"/>
      <x:c r="H56" s="22"/>
      <x:c r="I56" s="34"/>
      <x:c r="J56" s="22"/>
      <x:c r="K56" s="22"/>
      <x:c r="L56" s="22"/>
      <x:c r="M56" s="31"/>
      <x:c r="N56" s="31"/>
      <x:c r="O56" s="22"/>
      <x:c r="P56" s="22"/>
      <x:c r="Q56" s="28" t="str">
        <x:f>IF(COUNTA(A56:P56)=0,"",IF(OR(A56="",B56="",C56="",D56="",E56="",H56="",I56="",J56="",K56="",O56=""),"不通过：缺少必填项",IF(COUNTIF($B$5:$B$104,B56)&gt;1,"不通过：编码重复",IF(COUNTIF('专业组'!$B$5:$B$104,D56)=0,"不通过：专业组编码不存在",IF(COUNTIF('标本容器'!$B$5:$B$104,H56)=0,"不通过：标本编码不存在",IF(AND(E56="数值",OR(F56="",G56="")),"不通过：数值项目缺小数位或单位",IF(AND(E56="数值",COUNTIF('结果单位'!$B$5:$B$104,G56)=0),"不通过：单位编码不存在","通过")))))))</x:f>
      </x:c>
    </x:row>
    <x:row r="57">
      <x:c r="A57" s="22"/>
      <x:c r="B57" s="22"/>
      <x:c r="C57" s="22"/>
      <x:c r="D57" s="22"/>
      <x:c r="E57" s="22"/>
      <x:c r="F57" s="34"/>
      <x:c r="G57" s="22"/>
      <x:c r="H57" s="22"/>
      <x:c r="I57" s="34"/>
      <x:c r="J57" s="22"/>
      <x:c r="K57" s="22"/>
      <x:c r="L57" s="22"/>
      <x:c r="M57" s="31"/>
      <x:c r="N57" s="31"/>
      <x:c r="O57" s="22"/>
      <x:c r="P57" s="22"/>
      <x:c r="Q57" s="28" t="str">
        <x:f>IF(COUNTA(A57:P57)=0,"",IF(OR(A57="",B57="",C57="",D57="",E57="",H57="",I57="",J57="",K57="",O57=""),"不通过：缺少必填项",IF(COUNTIF($B$5:$B$104,B57)&gt;1,"不通过：编码重复",IF(COUNTIF('专业组'!$B$5:$B$104,D57)=0,"不通过：专业组编码不存在",IF(COUNTIF('标本容器'!$B$5:$B$104,H57)=0,"不通过：标本编码不存在",IF(AND(E57="数值",OR(F57="",G57="")),"不通过：数值项目缺小数位或单位",IF(AND(E57="数值",COUNTIF('结果单位'!$B$5:$B$104,G57)=0),"不通过：单位编码不存在","通过")))))))</x:f>
      </x:c>
    </x:row>
    <x:row r="58">
      <x:c r="A58" s="22"/>
      <x:c r="B58" s="22"/>
      <x:c r="C58" s="22"/>
      <x:c r="D58" s="22"/>
      <x:c r="E58" s="22"/>
      <x:c r="F58" s="34"/>
      <x:c r="G58" s="22"/>
      <x:c r="H58" s="22"/>
      <x:c r="I58" s="34"/>
      <x:c r="J58" s="22"/>
      <x:c r="K58" s="22"/>
      <x:c r="L58" s="22"/>
      <x:c r="M58" s="31"/>
      <x:c r="N58" s="31"/>
      <x:c r="O58" s="22"/>
      <x:c r="P58" s="22"/>
      <x:c r="Q58" s="28" t="str">
        <x:f>IF(COUNTA(A58:P58)=0,"",IF(OR(A58="",B58="",C58="",D58="",E58="",H58="",I58="",J58="",K58="",O58=""),"不通过：缺少必填项",IF(COUNTIF($B$5:$B$104,B58)&gt;1,"不通过：编码重复",IF(COUNTIF('专业组'!$B$5:$B$104,D58)=0,"不通过：专业组编码不存在",IF(COUNTIF('标本容器'!$B$5:$B$104,H58)=0,"不通过：标本编码不存在",IF(AND(E58="数值",OR(F58="",G58="")),"不通过：数值项目缺小数位或单位",IF(AND(E58="数值",COUNTIF('结果单位'!$B$5:$B$104,G58)=0),"不通过：单位编码不存在","通过")))))))</x:f>
      </x:c>
    </x:row>
    <x:row r="59">
      <x:c r="A59" s="22"/>
      <x:c r="B59" s="22"/>
      <x:c r="C59" s="22"/>
      <x:c r="D59" s="22"/>
      <x:c r="E59" s="22"/>
      <x:c r="F59" s="34"/>
      <x:c r="G59" s="22"/>
      <x:c r="H59" s="22"/>
      <x:c r="I59" s="34"/>
      <x:c r="J59" s="22"/>
      <x:c r="K59" s="22"/>
      <x:c r="L59" s="22"/>
      <x:c r="M59" s="31"/>
      <x:c r="N59" s="31"/>
      <x:c r="O59" s="22"/>
      <x:c r="P59" s="22"/>
      <x:c r="Q59" s="28" t="str">
        <x:f>IF(COUNTA(A59:P59)=0,"",IF(OR(A59="",B59="",C59="",D59="",E59="",H59="",I59="",J59="",K59="",O59=""),"不通过：缺少必填项",IF(COUNTIF($B$5:$B$104,B59)&gt;1,"不通过：编码重复",IF(COUNTIF('专业组'!$B$5:$B$104,D59)=0,"不通过：专业组编码不存在",IF(COUNTIF('标本容器'!$B$5:$B$104,H59)=0,"不通过：标本编码不存在",IF(AND(E59="数值",OR(F59="",G59="")),"不通过：数值项目缺小数位或单位",IF(AND(E59="数值",COUNTIF('结果单位'!$B$5:$B$104,G59)=0),"不通过：单位编码不存在","通过")))))))</x:f>
      </x:c>
    </x:row>
    <x:row r="60">
      <x:c r="A60" s="22"/>
      <x:c r="B60" s="22"/>
      <x:c r="C60" s="22"/>
      <x:c r="D60" s="22"/>
      <x:c r="E60" s="22"/>
      <x:c r="F60" s="34"/>
      <x:c r="G60" s="22"/>
      <x:c r="H60" s="22"/>
      <x:c r="I60" s="34"/>
      <x:c r="J60" s="22"/>
      <x:c r="K60" s="22"/>
      <x:c r="L60" s="22"/>
      <x:c r="M60" s="31"/>
      <x:c r="N60" s="31"/>
      <x:c r="O60" s="22"/>
      <x:c r="P60" s="22"/>
      <x:c r="Q60" s="28" t="str">
        <x:f>IF(COUNTA(A60:P60)=0,"",IF(OR(A60="",B60="",C60="",D60="",E60="",H60="",I60="",J60="",K60="",O60=""),"不通过：缺少必填项",IF(COUNTIF($B$5:$B$104,B60)&gt;1,"不通过：编码重复",IF(COUNTIF('专业组'!$B$5:$B$104,D60)=0,"不通过：专业组编码不存在",IF(COUNTIF('标本容器'!$B$5:$B$104,H60)=0,"不通过：标本编码不存在",IF(AND(E60="数值",OR(F60="",G60="")),"不通过：数值项目缺小数位或单位",IF(AND(E60="数值",COUNTIF('结果单位'!$B$5:$B$104,G60)=0),"不通过：单位编码不存在","通过")))))))</x:f>
      </x:c>
    </x:row>
    <x:row r="61">
      <x:c r="A61" s="22"/>
      <x:c r="B61" s="22"/>
      <x:c r="C61" s="22"/>
      <x:c r="D61" s="22"/>
      <x:c r="E61" s="22"/>
      <x:c r="F61" s="34"/>
      <x:c r="G61" s="22"/>
      <x:c r="H61" s="22"/>
      <x:c r="I61" s="34"/>
      <x:c r="J61" s="22"/>
      <x:c r="K61" s="22"/>
      <x:c r="L61" s="22"/>
      <x:c r="M61" s="31"/>
      <x:c r="N61" s="31"/>
      <x:c r="O61" s="22"/>
      <x:c r="P61" s="22"/>
      <x:c r="Q61" s="28" t="str">
        <x:f>IF(COUNTA(A61:P61)=0,"",IF(OR(A61="",B61="",C61="",D61="",E61="",H61="",I61="",J61="",K61="",O61=""),"不通过：缺少必填项",IF(COUNTIF($B$5:$B$104,B61)&gt;1,"不通过：编码重复",IF(COUNTIF('专业组'!$B$5:$B$104,D61)=0,"不通过：专业组编码不存在",IF(COUNTIF('标本容器'!$B$5:$B$104,H61)=0,"不通过：标本编码不存在",IF(AND(E61="数值",OR(F61="",G61="")),"不通过：数值项目缺小数位或单位",IF(AND(E61="数值",COUNTIF('结果单位'!$B$5:$B$104,G61)=0),"不通过：单位编码不存在","通过")))))))</x:f>
      </x:c>
    </x:row>
    <x:row r="62">
      <x:c r="A62" s="22"/>
      <x:c r="B62" s="22"/>
      <x:c r="C62" s="22"/>
      <x:c r="D62" s="22"/>
      <x:c r="E62" s="22"/>
      <x:c r="F62" s="34"/>
      <x:c r="G62" s="22"/>
      <x:c r="H62" s="22"/>
      <x:c r="I62" s="34"/>
      <x:c r="J62" s="22"/>
      <x:c r="K62" s="22"/>
      <x:c r="L62" s="22"/>
      <x:c r="M62" s="31"/>
      <x:c r="N62" s="31"/>
      <x:c r="O62" s="22"/>
      <x:c r="P62" s="22"/>
      <x:c r="Q62" s="28" t="str">
        <x:f>IF(COUNTA(A62:P62)=0,"",IF(OR(A62="",B62="",C62="",D62="",E62="",H62="",I62="",J62="",K62="",O62=""),"不通过：缺少必填项",IF(COUNTIF($B$5:$B$104,B62)&gt;1,"不通过：编码重复",IF(COUNTIF('专业组'!$B$5:$B$104,D62)=0,"不通过：专业组编码不存在",IF(COUNTIF('标本容器'!$B$5:$B$104,H62)=0,"不通过：标本编码不存在",IF(AND(E62="数值",OR(F62="",G62="")),"不通过：数值项目缺小数位或单位",IF(AND(E62="数值",COUNTIF('结果单位'!$B$5:$B$104,G62)=0),"不通过：单位编码不存在","通过")))))))</x:f>
      </x:c>
    </x:row>
    <x:row r="63">
      <x:c r="A63" s="22"/>
      <x:c r="B63" s="22"/>
      <x:c r="C63" s="22"/>
      <x:c r="D63" s="22"/>
      <x:c r="E63" s="22"/>
      <x:c r="F63" s="34"/>
      <x:c r="G63" s="22"/>
      <x:c r="H63" s="22"/>
      <x:c r="I63" s="34"/>
      <x:c r="J63" s="22"/>
      <x:c r="K63" s="22"/>
      <x:c r="L63" s="22"/>
      <x:c r="M63" s="31"/>
      <x:c r="N63" s="31"/>
      <x:c r="O63" s="22"/>
      <x:c r="P63" s="22"/>
      <x:c r="Q63" s="28" t="str">
        <x:f>IF(COUNTA(A63:P63)=0,"",IF(OR(A63="",B63="",C63="",D63="",E63="",H63="",I63="",J63="",K63="",O63=""),"不通过：缺少必填项",IF(COUNTIF($B$5:$B$104,B63)&gt;1,"不通过：编码重复",IF(COUNTIF('专业组'!$B$5:$B$104,D63)=0,"不通过：专业组编码不存在",IF(COUNTIF('标本容器'!$B$5:$B$104,H63)=0,"不通过：标本编码不存在",IF(AND(E63="数值",OR(F63="",G63="")),"不通过：数值项目缺小数位或单位",IF(AND(E63="数值",COUNTIF('结果单位'!$B$5:$B$104,G63)=0),"不通过：单位编码不存在","通过")))))))</x:f>
      </x:c>
    </x:row>
    <x:row r="64">
      <x:c r="A64" s="22"/>
      <x:c r="B64" s="22"/>
      <x:c r="C64" s="22"/>
      <x:c r="D64" s="22"/>
      <x:c r="E64" s="22"/>
      <x:c r="F64" s="34"/>
      <x:c r="G64" s="22"/>
      <x:c r="H64" s="22"/>
      <x:c r="I64" s="34"/>
      <x:c r="J64" s="22"/>
      <x:c r="K64" s="22"/>
      <x:c r="L64" s="22"/>
      <x:c r="M64" s="31"/>
      <x:c r="N64" s="31"/>
      <x:c r="O64" s="22"/>
      <x:c r="P64" s="22"/>
      <x:c r="Q64" s="28" t="str">
        <x:f>IF(COUNTA(A64:P64)=0,"",IF(OR(A64="",B64="",C64="",D64="",E64="",H64="",I64="",J64="",K64="",O64=""),"不通过：缺少必填项",IF(COUNTIF($B$5:$B$104,B64)&gt;1,"不通过：编码重复",IF(COUNTIF('专业组'!$B$5:$B$104,D64)=0,"不通过：专业组编码不存在",IF(COUNTIF('标本容器'!$B$5:$B$104,H64)=0,"不通过：标本编码不存在",IF(AND(E64="数值",OR(F64="",G64="")),"不通过：数值项目缺小数位或单位",IF(AND(E64="数值",COUNTIF('结果单位'!$B$5:$B$104,G64)=0),"不通过：单位编码不存在","通过")))))))</x:f>
      </x:c>
    </x:row>
    <x:row r="65">
      <x:c r="A65" s="22"/>
      <x:c r="B65" s="22"/>
      <x:c r="C65" s="22"/>
      <x:c r="D65" s="22"/>
      <x:c r="E65" s="22"/>
      <x:c r="F65" s="34"/>
      <x:c r="G65" s="22"/>
      <x:c r="H65" s="22"/>
      <x:c r="I65" s="34"/>
      <x:c r="J65" s="22"/>
      <x:c r="K65" s="22"/>
      <x:c r="L65" s="22"/>
      <x:c r="M65" s="31"/>
      <x:c r="N65" s="31"/>
      <x:c r="O65" s="22"/>
      <x:c r="P65" s="22"/>
      <x:c r="Q65" s="28" t="str">
        <x:f>IF(COUNTA(A65:P65)=0,"",IF(OR(A65="",B65="",C65="",D65="",E65="",H65="",I65="",J65="",K65="",O65=""),"不通过：缺少必填项",IF(COUNTIF($B$5:$B$104,B65)&gt;1,"不通过：编码重复",IF(COUNTIF('专业组'!$B$5:$B$104,D65)=0,"不通过：专业组编码不存在",IF(COUNTIF('标本容器'!$B$5:$B$104,H65)=0,"不通过：标本编码不存在",IF(AND(E65="数值",OR(F65="",G65="")),"不通过：数值项目缺小数位或单位",IF(AND(E65="数值",COUNTIF('结果单位'!$B$5:$B$104,G65)=0),"不通过：单位编码不存在","通过")))))))</x:f>
      </x:c>
    </x:row>
    <x:row r="66">
      <x:c r="A66" s="22"/>
      <x:c r="B66" s="22"/>
      <x:c r="C66" s="22"/>
      <x:c r="D66" s="22"/>
      <x:c r="E66" s="22"/>
      <x:c r="F66" s="34"/>
      <x:c r="G66" s="22"/>
      <x:c r="H66" s="22"/>
      <x:c r="I66" s="34"/>
      <x:c r="J66" s="22"/>
      <x:c r="K66" s="22"/>
      <x:c r="L66" s="22"/>
      <x:c r="M66" s="31"/>
      <x:c r="N66" s="31"/>
      <x:c r="O66" s="22"/>
      <x:c r="P66" s="22"/>
      <x:c r="Q66" s="28" t="str">
        <x:f>IF(COUNTA(A66:P66)=0,"",IF(OR(A66="",B66="",C66="",D66="",E66="",H66="",I66="",J66="",K66="",O66=""),"不通过：缺少必填项",IF(COUNTIF($B$5:$B$104,B66)&gt;1,"不通过：编码重复",IF(COUNTIF('专业组'!$B$5:$B$104,D66)=0,"不通过：专业组编码不存在",IF(COUNTIF('标本容器'!$B$5:$B$104,H66)=0,"不通过：标本编码不存在",IF(AND(E66="数值",OR(F66="",G66="")),"不通过：数值项目缺小数位或单位",IF(AND(E66="数值",COUNTIF('结果单位'!$B$5:$B$104,G66)=0),"不通过：单位编码不存在","通过")))))))</x:f>
      </x:c>
    </x:row>
    <x:row r="67">
      <x:c r="A67" s="22"/>
      <x:c r="B67" s="22"/>
      <x:c r="C67" s="22"/>
      <x:c r="D67" s="22"/>
      <x:c r="E67" s="22"/>
      <x:c r="F67" s="34"/>
      <x:c r="G67" s="22"/>
      <x:c r="H67" s="22"/>
      <x:c r="I67" s="34"/>
      <x:c r="J67" s="22"/>
      <x:c r="K67" s="22"/>
      <x:c r="L67" s="22"/>
      <x:c r="M67" s="31"/>
      <x:c r="N67" s="31"/>
      <x:c r="O67" s="22"/>
      <x:c r="P67" s="22"/>
      <x:c r="Q67" s="28" t="str">
        <x:f>IF(COUNTA(A67:P67)=0,"",IF(OR(A67="",B67="",C67="",D67="",E67="",H67="",I67="",J67="",K67="",O67=""),"不通过：缺少必填项",IF(COUNTIF($B$5:$B$104,B67)&gt;1,"不通过：编码重复",IF(COUNTIF('专业组'!$B$5:$B$104,D67)=0,"不通过：专业组编码不存在",IF(COUNTIF('标本容器'!$B$5:$B$104,H67)=0,"不通过：标本编码不存在",IF(AND(E67="数值",OR(F67="",G67="")),"不通过：数值项目缺小数位或单位",IF(AND(E67="数值",COUNTIF('结果单位'!$B$5:$B$104,G67)=0),"不通过：单位编码不存在","通过")))))))</x:f>
      </x:c>
    </x:row>
    <x:row r="68">
      <x:c r="A68" s="22"/>
      <x:c r="B68" s="22"/>
      <x:c r="C68" s="22"/>
      <x:c r="D68" s="22"/>
      <x:c r="E68" s="22"/>
      <x:c r="F68" s="34"/>
      <x:c r="G68" s="22"/>
      <x:c r="H68" s="22"/>
      <x:c r="I68" s="34"/>
      <x:c r="J68" s="22"/>
      <x:c r="K68" s="22"/>
      <x:c r="L68" s="22"/>
      <x:c r="M68" s="31"/>
      <x:c r="N68" s="31"/>
      <x:c r="O68" s="22"/>
      <x:c r="P68" s="22"/>
      <x:c r="Q68" s="28" t="str">
        <x:f>IF(COUNTA(A68:P68)=0,"",IF(OR(A68="",B68="",C68="",D68="",E68="",H68="",I68="",J68="",K68="",O68=""),"不通过：缺少必填项",IF(COUNTIF($B$5:$B$104,B68)&gt;1,"不通过：编码重复",IF(COUNTIF('专业组'!$B$5:$B$104,D68)=0,"不通过：专业组编码不存在",IF(COUNTIF('标本容器'!$B$5:$B$104,H68)=0,"不通过：标本编码不存在",IF(AND(E68="数值",OR(F68="",G68="")),"不通过：数值项目缺小数位或单位",IF(AND(E68="数值",COUNTIF('结果单位'!$B$5:$B$104,G68)=0),"不通过：单位编码不存在","通过")))))))</x:f>
      </x:c>
    </x:row>
    <x:row r="69">
      <x:c r="A69" s="22"/>
      <x:c r="B69" s="22"/>
      <x:c r="C69" s="22"/>
      <x:c r="D69" s="22"/>
      <x:c r="E69" s="22"/>
      <x:c r="F69" s="34"/>
      <x:c r="G69" s="22"/>
      <x:c r="H69" s="22"/>
      <x:c r="I69" s="34"/>
      <x:c r="J69" s="22"/>
      <x:c r="K69" s="22"/>
      <x:c r="L69" s="22"/>
      <x:c r="M69" s="31"/>
      <x:c r="N69" s="31"/>
      <x:c r="O69" s="22"/>
      <x:c r="P69" s="22"/>
      <x:c r="Q69" s="28" t="str">
        <x:f>IF(COUNTA(A69:P69)=0,"",IF(OR(A69="",B69="",C69="",D69="",E69="",H69="",I69="",J69="",K69="",O69=""),"不通过：缺少必填项",IF(COUNTIF($B$5:$B$104,B69)&gt;1,"不通过：编码重复",IF(COUNTIF('专业组'!$B$5:$B$104,D69)=0,"不通过：专业组编码不存在",IF(COUNTIF('标本容器'!$B$5:$B$104,H69)=0,"不通过：标本编码不存在",IF(AND(E69="数值",OR(F69="",G69="")),"不通过：数值项目缺小数位或单位",IF(AND(E69="数值",COUNTIF('结果单位'!$B$5:$B$104,G69)=0),"不通过：单位编码不存在","通过")))))))</x:f>
      </x:c>
    </x:row>
    <x:row r="70">
      <x:c r="A70" s="22"/>
      <x:c r="B70" s="22"/>
      <x:c r="C70" s="22"/>
      <x:c r="D70" s="22"/>
      <x:c r="E70" s="22"/>
      <x:c r="F70" s="34"/>
      <x:c r="G70" s="22"/>
      <x:c r="H70" s="22"/>
      <x:c r="I70" s="34"/>
      <x:c r="J70" s="22"/>
      <x:c r="K70" s="22"/>
      <x:c r="L70" s="22"/>
      <x:c r="M70" s="31"/>
      <x:c r="N70" s="31"/>
      <x:c r="O70" s="22"/>
      <x:c r="P70" s="22"/>
      <x:c r="Q70" s="28" t="str">
        <x:f>IF(COUNTA(A70:P70)=0,"",IF(OR(A70="",B70="",C70="",D70="",E70="",H70="",I70="",J70="",K70="",O70=""),"不通过：缺少必填项",IF(COUNTIF($B$5:$B$104,B70)&gt;1,"不通过：编码重复",IF(COUNTIF('专业组'!$B$5:$B$104,D70)=0,"不通过：专业组编码不存在",IF(COUNTIF('标本容器'!$B$5:$B$104,H70)=0,"不通过：标本编码不存在",IF(AND(E70="数值",OR(F70="",G70="")),"不通过：数值项目缺小数位或单位",IF(AND(E70="数值",COUNTIF('结果单位'!$B$5:$B$104,G70)=0),"不通过：单位编码不存在","通过")))))))</x:f>
      </x:c>
    </x:row>
    <x:row r="71">
      <x:c r="A71" s="22"/>
      <x:c r="B71" s="22"/>
      <x:c r="C71" s="22"/>
      <x:c r="D71" s="22"/>
      <x:c r="E71" s="22"/>
      <x:c r="F71" s="34"/>
      <x:c r="G71" s="22"/>
      <x:c r="H71" s="22"/>
      <x:c r="I71" s="34"/>
      <x:c r="J71" s="22"/>
      <x:c r="K71" s="22"/>
      <x:c r="L71" s="22"/>
      <x:c r="M71" s="31"/>
      <x:c r="N71" s="31"/>
      <x:c r="O71" s="22"/>
      <x:c r="P71" s="22"/>
      <x:c r="Q71" s="28" t="str">
        <x:f>IF(COUNTA(A71:P71)=0,"",IF(OR(A71="",B71="",C71="",D71="",E71="",H71="",I71="",J71="",K71="",O71=""),"不通过：缺少必填项",IF(COUNTIF($B$5:$B$104,B71)&gt;1,"不通过：编码重复",IF(COUNTIF('专业组'!$B$5:$B$104,D71)=0,"不通过：专业组编码不存在",IF(COUNTIF('标本容器'!$B$5:$B$104,H71)=0,"不通过：标本编码不存在",IF(AND(E71="数值",OR(F71="",G71="")),"不通过：数值项目缺小数位或单位",IF(AND(E71="数值",COUNTIF('结果单位'!$B$5:$B$104,G71)=0),"不通过：单位编码不存在","通过")))))))</x:f>
      </x:c>
    </x:row>
    <x:row r="72">
      <x:c r="A72" s="22"/>
      <x:c r="B72" s="22"/>
      <x:c r="C72" s="22"/>
      <x:c r="D72" s="22"/>
      <x:c r="E72" s="22"/>
      <x:c r="F72" s="34"/>
      <x:c r="G72" s="22"/>
      <x:c r="H72" s="22"/>
      <x:c r="I72" s="34"/>
      <x:c r="J72" s="22"/>
      <x:c r="K72" s="22"/>
      <x:c r="L72" s="22"/>
      <x:c r="M72" s="31"/>
      <x:c r="N72" s="31"/>
      <x:c r="O72" s="22"/>
      <x:c r="P72" s="22"/>
      <x:c r="Q72" s="28" t="str">
        <x:f>IF(COUNTA(A72:P72)=0,"",IF(OR(A72="",B72="",C72="",D72="",E72="",H72="",I72="",J72="",K72="",O72=""),"不通过：缺少必填项",IF(COUNTIF($B$5:$B$104,B72)&gt;1,"不通过：编码重复",IF(COUNTIF('专业组'!$B$5:$B$104,D72)=0,"不通过：专业组编码不存在",IF(COUNTIF('标本容器'!$B$5:$B$104,H72)=0,"不通过：标本编码不存在",IF(AND(E72="数值",OR(F72="",G72="")),"不通过：数值项目缺小数位或单位",IF(AND(E72="数值",COUNTIF('结果单位'!$B$5:$B$104,G72)=0),"不通过：单位编码不存在","通过")))))))</x:f>
      </x:c>
    </x:row>
    <x:row r="73">
      <x:c r="A73" s="22"/>
      <x:c r="B73" s="22"/>
      <x:c r="C73" s="22"/>
      <x:c r="D73" s="22"/>
      <x:c r="E73" s="22"/>
      <x:c r="F73" s="34"/>
      <x:c r="G73" s="22"/>
      <x:c r="H73" s="22"/>
      <x:c r="I73" s="34"/>
      <x:c r="J73" s="22"/>
      <x:c r="K73" s="22"/>
      <x:c r="L73" s="22"/>
      <x:c r="M73" s="31"/>
      <x:c r="N73" s="31"/>
      <x:c r="O73" s="22"/>
      <x:c r="P73" s="22"/>
      <x:c r="Q73" s="28" t="str">
        <x:f>IF(COUNTA(A73:P73)=0,"",IF(OR(A73="",B73="",C73="",D73="",E73="",H73="",I73="",J73="",K73="",O73=""),"不通过：缺少必填项",IF(COUNTIF($B$5:$B$104,B73)&gt;1,"不通过：编码重复",IF(COUNTIF('专业组'!$B$5:$B$104,D73)=0,"不通过：专业组编码不存在",IF(COUNTIF('标本容器'!$B$5:$B$104,H73)=0,"不通过：标本编码不存在",IF(AND(E73="数值",OR(F73="",G73="")),"不通过：数值项目缺小数位或单位",IF(AND(E73="数值",COUNTIF('结果单位'!$B$5:$B$104,G73)=0),"不通过：单位编码不存在","通过")))))))</x:f>
      </x:c>
    </x:row>
    <x:row r="74">
      <x:c r="A74" s="22"/>
      <x:c r="B74" s="22"/>
      <x:c r="C74" s="22"/>
      <x:c r="D74" s="22"/>
      <x:c r="E74" s="22"/>
      <x:c r="F74" s="34"/>
      <x:c r="G74" s="22"/>
      <x:c r="H74" s="22"/>
      <x:c r="I74" s="34"/>
      <x:c r="J74" s="22"/>
      <x:c r="K74" s="22"/>
      <x:c r="L74" s="22"/>
      <x:c r="M74" s="31"/>
      <x:c r="N74" s="31"/>
      <x:c r="O74" s="22"/>
      <x:c r="P74" s="22"/>
      <x:c r="Q74" s="28" t="str">
        <x:f>IF(COUNTA(A74:P74)=0,"",IF(OR(A74="",B74="",C74="",D74="",E74="",H74="",I74="",J74="",K74="",O74=""),"不通过：缺少必填项",IF(COUNTIF($B$5:$B$104,B74)&gt;1,"不通过：编码重复",IF(COUNTIF('专业组'!$B$5:$B$104,D74)=0,"不通过：专业组编码不存在",IF(COUNTIF('标本容器'!$B$5:$B$104,H74)=0,"不通过：标本编码不存在",IF(AND(E74="数值",OR(F74="",G74="")),"不通过：数值项目缺小数位或单位",IF(AND(E74="数值",COUNTIF('结果单位'!$B$5:$B$104,G74)=0),"不通过：单位编码不存在","通过")))))))</x:f>
      </x:c>
    </x:row>
    <x:row r="75">
      <x:c r="A75" s="22"/>
      <x:c r="B75" s="22"/>
      <x:c r="C75" s="22"/>
      <x:c r="D75" s="22"/>
      <x:c r="E75" s="22"/>
      <x:c r="F75" s="34"/>
      <x:c r="G75" s="22"/>
      <x:c r="H75" s="22"/>
      <x:c r="I75" s="34"/>
      <x:c r="J75" s="22"/>
      <x:c r="K75" s="22"/>
      <x:c r="L75" s="22"/>
      <x:c r="M75" s="31"/>
      <x:c r="N75" s="31"/>
      <x:c r="O75" s="22"/>
      <x:c r="P75" s="22"/>
      <x:c r="Q75" s="28" t="str">
        <x:f>IF(COUNTA(A75:P75)=0,"",IF(OR(A75="",B75="",C75="",D75="",E75="",H75="",I75="",J75="",K75="",O75=""),"不通过：缺少必填项",IF(COUNTIF($B$5:$B$104,B75)&gt;1,"不通过：编码重复",IF(COUNTIF('专业组'!$B$5:$B$104,D75)=0,"不通过：专业组编码不存在",IF(COUNTIF('标本容器'!$B$5:$B$104,H75)=0,"不通过：标本编码不存在",IF(AND(E75="数值",OR(F75="",G75="")),"不通过：数值项目缺小数位或单位",IF(AND(E75="数值",COUNTIF('结果单位'!$B$5:$B$104,G75)=0),"不通过：单位编码不存在","通过")))))))</x:f>
      </x:c>
    </x:row>
    <x:row r="76">
      <x:c r="A76" s="22"/>
      <x:c r="B76" s="22"/>
      <x:c r="C76" s="22"/>
      <x:c r="D76" s="22"/>
      <x:c r="E76" s="22"/>
      <x:c r="F76" s="34"/>
      <x:c r="G76" s="22"/>
      <x:c r="H76" s="22"/>
      <x:c r="I76" s="34"/>
      <x:c r="J76" s="22"/>
      <x:c r="K76" s="22"/>
      <x:c r="L76" s="22"/>
      <x:c r="M76" s="31"/>
      <x:c r="N76" s="31"/>
      <x:c r="O76" s="22"/>
      <x:c r="P76" s="22"/>
      <x:c r="Q76" s="28" t="str">
        <x:f>IF(COUNTA(A76:P76)=0,"",IF(OR(A76="",B76="",C76="",D76="",E76="",H76="",I76="",J76="",K76="",O76=""),"不通过：缺少必填项",IF(COUNTIF($B$5:$B$104,B76)&gt;1,"不通过：编码重复",IF(COUNTIF('专业组'!$B$5:$B$104,D76)=0,"不通过：专业组编码不存在",IF(COUNTIF('标本容器'!$B$5:$B$104,H76)=0,"不通过：标本编码不存在",IF(AND(E76="数值",OR(F76="",G76="")),"不通过：数值项目缺小数位或单位",IF(AND(E76="数值",COUNTIF('结果单位'!$B$5:$B$104,G76)=0),"不通过：单位编码不存在","通过")))))))</x:f>
      </x:c>
    </x:row>
    <x:row r="77">
      <x:c r="A77" s="22"/>
      <x:c r="B77" s="22"/>
      <x:c r="C77" s="22"/>
      <x:c r="D77" s="22"/>
      <x:c r="E77" s="22"/>
      <x:c r="F77" s="34"/>
      <x:c r="G77" s="22"/>
      <x:c r="H77" s="22"/>
      <x:c r="I77" s="34"/>
      <x:c r="J77" s="22"/>
      <x:c r="K77" s="22"/>
      <x:c r="L77" s="22"/>
      <x:c r="M77" s="31"/>
      <x:c r="N77" s="31"/>
      <x:c r="O77" s="22"/>
      <x:c r="P77" s="22"/>
      <x:c r="Q77" s="28" t="str">
        <x:f>IF(COUNTA(A77:P77)=0,"",IF(OR(A77="",B77="",C77="",D77="",E77="",H77="",I77="",J77="",K77="",O77=""),"不通过：缺少必填项",IF(COUNTIF($B$5:$B$104,B77)&gt;1,"不通过：编码重复",IF(COUNTIF('专业组'!$B$5:$B$104,D77)=0,"不通过：专业组编码不存在",IF(COUNTIF('标本容器'!$B$5:$B$104,H77)=0,"不通过：标本编码不存在",IF(AND(E77="数值",OR(F77="",G77="")),"不通过：数值项目缺小数位或单位",IF(AND(E77="数值",COUNTIF('结果单位'!$B$5:$B$104,G77)=0),"不通过：单位编码不存在","通过")))))))</x:f>
      </x:c>
    </x:row>
    <x:row r="78">
      <x:c r="A78" s="22"/>
      <x:c r="B78" s="22"/>
      <x:c r="C78" s="22"/>
      <x:c r="D78" s="22"/>
      <x:c r="E78" s="22"/>
      <x:c r="F78" s="34"/>
      <x:c r="G78" s="22"/>
      <x:c r="H78" s="22"/>
      <x:c r="I78" s="34"/>
      <x:c r="J78" s="22"/>
      <x:c r="K78" s="22"/>
      <x:c r="L78" s="22"/>
      <x:c r="M78" s="31"/>
      <x:c r="N78" s="31"/>
      <x:c r="O78" s="22"/>
      <x:c r="P78" s="22"/>
      <x:c r="Q78" s="28" t="str">
        <x:f>IF(COUNTA(A78:P78)=0,"",IF(OR(A78="",B78="",C78="",D78="",E78="",H78="",I78="",J78="",K78="",O78=""),"不通过：缺少必填项",IF(COUNTIF($B$5:$B$104,B78)&gt;1,"不通过：编码重复",IF(COUNTIF('专业组'!$B$5:$B$104,D78)=0,"不通过：专业组编码不存在",IF(COUNTIF('标本容器'!$B$5:$B$104,H78)=0,"不通过：标本编码不存在",IF(AND(E78="数值",OR(F78="",G78="")),"不通过：数值项目缺小数位或单位",IF(AND(E78="数值",COUNTIF('结果单位'!$B$5:$B$104,G78)=0),"不通过：单位编码不存在","通过")))))))</x:f>
      </x:c>
    </x:row>
    <x:row r="79">
      <x:c r="A79" s="22"/>
      <x:c r="B79" s="22"/>
      <x:c r="C79" s="22"/>
      <x:c r="D79" s="22"/>
      <x:c r="E79" s="22"/>
      <x:c r="F79" s="34"/>
      <x:c r="G79" s="22"/>
      <x:c r="H79" s="22"/>
      <x:c r="I79" s="34"/>
      <x:c r="J79" s="22"/>
      <x:c r="K79" s="22"/>
      <x:c r="L79" s="22"/>
      <x:c r="M79" s="31"/>
      <x:c r="N79" s="31"/>
      <x:c r="O79" s="22"/>
      <x:c r="P79" s="22"/>
      <x:c r="Q79" s="28" t="str">
        <x:f>IF(COUNTA(A79:P79)=0,"",IF(OR(A79="",B79="",C79="",D79="",E79="",H79="",I79="",J79="",K79="",O79=""),"不通过：缺少必填项",IF(COUNTIF($B$5:$B$104,B79)&gt;1,"不通过：编码重复",IF(COUNTIF('专业组'!$B$5:$B$104,D79)=0,"不通过：专业组编码不存在",IF(COUNTIF('标本容器'!$B$5:$B$104,H79)=0,"不通过：标本编码不存在",IF(AND(E79="数值",OR(F79="",G79="")),"不通过：数值项目缺小数位或单位",IF(AND(E79="数值",COUNTIF('结果单位'!$B$5:$B$104,G79)=0),"不通过：单位编码不存在","通过")))))))</x:f>
      </x:c>
    </x:row>
    <x:row r="80">
      <x:c r="A80" s="22"/>
      <x:c r="B80" s="22"/>
      <x:c r="C80" s="22"/>
      <x:c r="D80" s="22"/>
      <x:c r="E80" s="22"/>
      <x:c r="F80" s="34"/>
      <x:c r="G80" s="22"/>
      <x:c r="H80" s="22"/>
      <x:c r="I80" s="34"/>
      <x:c r="J80" s="22"/>
      <x:c r="K80" s="22"/>
      <x:c r="L80" s="22"/>
      <x:c r="M80" s="31"/>
      <x:c r="N80" s="31"/>
      <x:c r="O80" s="22"/>
      <x:c r="P80" s="22"/>
      <x:c r="Q80" s="28" t="str">
        <x:f>IF(COUNTA(A80:P80)=0,"",IF(OR(A80="",B80="",C80="",D80="",E80="",H80="",I80="",J80="",K80="",O80=""),"不通过：缺少必填项",IF(COUNTIF($B$5:$B$104,B80)&gt;1,"不通过：编码重复",IF(COUNTIF('专业组'!$B$5:$B$104,D80)=0,"不通过：专业组编码不存在",IF(COUNTIF('标本容器'!$B$5:$B$104,H80)=0,"不通过：标本编码不存在",IF(AND(E80="数值",OR(F80="",G80="")),"不通过：数值项目缺小数位或单位",IF(AND(E80="数值",COUNTIF('结果单位'!$B$5:$B$104,G80)=0),"不通过：单位编码不存在","通过")))))))</x:f>
      </x:c>
    </x:row>
    <x:row r="81">
      <x:c r="A81" s="22"/>
      <x:c r="B81" s="22"/>
      <x:c r="C81" s="22"/>
      <x:c r="D81" s="22"/>
      <x:c r="E81" s="22"/>
      <x:c r="F81" s="34"/>
      <x:c r="G81" s="22"/>
      <x:c r="H81" s="22"/>
      <x:c r="I81" s="34"/>
      <x:c r="J81" s="22"/>
      <x:c r="K81" s="22"/>
      <x:c r="L81" s="22"/>
      <x:c r="M81" s="31"/>
      <x:c r="N81" s="31"/>
      <x:c r="O81" s="22"/>
      <x:c r="P81" s="22"/>
      <x:c r="Q81" s="28" t="str">
        <x:f>IF(COUNTA(A81:P81)=0,"",IF(OR(A81="",B81="",C81="",D81="",E81="",H81="",I81="",J81="",K81="",O81=""),"不通过：缺少必填项",IF(COUNTIF($B$5:$B$104,B81)&gt;1,"不通过：编码重复",IF(COUNTIF('专业组'!$B$5:$B$104,D81)=0,"不通过：专业组编码不存在",IF(COUNTIF('标本容器'!$B$5:$B$104,H81)=0,"不通过：标本编码不存在",IF(AND(E81="数值",OR(F81="",G81="")),"不通过：数值项目缺小数位或单位",IF(AND(E81="数值",COUNTIF('结果单位'!$B$5:$B$104,G81)=0),"不通过：单位编码不存在","通过")))))))</x:f>
      </x:c>
    </x:row>
    <x:row r="82">
      <x:c r="A82" s="22"/>
      <x:c r="B82" s="22"/>
      <x:c r="C82" s="22"/>
      <x:c r="D82" s="22"/>
      <x:c r="E82" s="22"/>
      <x:c r="F82" s="34"/>
      <x:c r="G82" s="22"/>
      <x:c r="H82" s="22"/>
      <x:c r="I82" s="34"/>
      <x:c r="J82" s="22"/>
      <x:c r="K82" s="22"/>
      <x:c r="L82" s="22"/>
      <x:c r="M82" s="31"/>
      <x:c r="N82" s="31"/>
      <x:c r="O82" s="22"/>
      <x:c r="P82" s="22"/>
      <x:c r="Q82" s="28" t="str">
        <x:f>IF(COUNTA(A82:P82)=0,"",IF(OR(A82="",B82="",C82="",D82="",E82="",H82="",I82="",J82="",K82="",O82=""),"不通过：缺少必填项",IF(COUNTIF($B$5:$B$104,B82)&gt;1,"不通过：编码重复",IF(COUNTIF('专业组'!$B$5:$B$104,D82)=0,"不通过：专业组编码不存在",IF(COUNTIF('标本容器'!$B$5:$B$104,H82)=0,"不通过：标本编码不存在",IF(AND(E82="数值",OR(F82="",G82="")),"不通过：数值项目缺小数位或单位",IF(AND(E82="数值",COUNTIF('结果单位'!$B$5:$B$104,G82)=0),"不通过：单位编码不存在","通过")))))))</x:f>
      </x:c>
    </x:row>
    <x:row r="83">
      <x:c r="A83" s="22"/>
      <x:c r="B83" s="22"/>
      <x:c r="C83" s="22"/>
      <x:c r="D83" s="22"/>
      <x:c r="E83" s="22"/>
      <x:c r="F83" s="34"/>
      <x:c r="G83" s="22"/>
      <x:c r="H83" s="22"/>
      <x:c r="I83" s="34"/>
      <x:c r="J83" s="22"/>
      <x:c r="K83" s="22"/>
      <x:c r="L83" s="22"/>
      <x:c r="M83" s="31"/>
      <x:c r="N83" s="31"/>
      <x:c r="O83" s="22"/>
      <x:c r="P83" s="22"/>
      <x:c r="Q83" s="28" t="str">
        <x:f>IF(COUNTA(A83:P83)=0,"",IF(OR(A83="",B83="",C83="",D83="",E83="",H83="",I83="",J83="",K83="",O83=""),"不通过：缺少必填项",IF(COUNTIF($B$5:$B$104,B83)&gt;1,"不通过：编码重复",IF(COUNTIF('专业组'!$B$5:$B$104,D83)=0,"不通过：专业组编码不存在",IF(COUNTIF('标本容器'!$B$5:$B$104,H83)=0,"不通过：标本编码不存在",IF(AND(E83="数值",OR(F83="",G83="")),"不通过：数值项目缺小数位或单位",IF(AND(E83="数值",COUNTIF('结果单位'!$B$5:$B$104,G83)=0),"不通过：单位编码不存在","通过")))))))</x:f>
      </x:c>
    </x:row>
    <x:row r="84">
      <x:c r="A84" s="22"/>
      <x:c r="B84" s="22"/>
      <x:c r="C84" s="22"/>
      <x:c r="D84" s="22"/>
      <x:c r="E84" s="22"/>
      <x:c r="F84" s="34"/>
      <x:c r="G84" s="22"/>
      <x:c r="H84" s="22"/>
      <x:c r="I84" s="34"/>
      <x:c r="J84" s="22"/>
      <x:c r="K84" s="22"/>
      <x:c r="L84" s="22"/>
      <x:c r="M84" s="31"/>
      <x:c r="N84" s="31"/>
      <x:c r="O84" s="22"/>
      <x:c r="P84" s="22"/>
      <x:c r="Q84" s="28" t="str">
        <x:f>IF(COUNTA(A84:P84)=0,"",IF(OR(A84="",B84="",C84="",D84="",E84="",H84="",I84="",J84="",K84="",O84=""),"不通过：缺少必填项",IF(COUNTIF($B$5:$B$104,B84)&gt;1,"不通过：编码重复",IF(COUNTIF('专业组'!$B$5:$B$104,D84)=0,"不通过：专业组编码不存在",IF(COUNTIF('标本容器'!$B$5:$B$104,H84)=0,"不通过：标本编码不存在",IF(AND(E84="数值",OR(F84="",G84="")),"不通过：数值项目缺小数位或单位",IF(AND(E84="数值",COUNTIF('结果单位'!$B$5:$B$104,G84)=0),"不通过：单位编码不存在","通过")))))))</x:f>
      </x:c>
    </x:row>
    <x:row r="85">
      <x:c r="A85" s="22"/>
      <x:c r="B85" s="22"/>
      <x:c r="C85" s="22"/>
      <x:c r="D85" s="22"/>
      <x:c r="E85" s="22"/>
      <x:c r="F85" s="34"/>
      <x:c r="G85" s="22"/>
      <x:c r="H85" s="22"/>
      <x:c r="I85" s="34"/>
      <x:c r="J85" s="22"/>
      <x:c r="K85" s="22"/>
      <x:c r="L85" s="22"/>
      <x:c r="M85" s="31"/>
      <x:c r="N85" s="31"/>
      <x:c r="O85" s="22"/>
      <x:c r="P85" s="22"/>
      <x:c r="Q85" s="28" t="str">
        <x:f>IF(COUNTA(A85:P85)=0,"",IF(OR(A85="",B85="",C85="",D85="",E85="",H85="",I85="",J85="",K85="",O85=""),"不通过：缺少必填项",IF(COUNTIF($B$5:$B$104,B85)&gt;1,"不通过：编码重复",IF(COUNTIF('专业组'!$B$5:$B$104,D85)=0,"不通过：专业组编码不存在",IF(COUNTIF('标本容器'!$B$5:$B$104,H85)=0,"不通过：标本编码不存在",IF(AND(E85="数值",OR(F85="",G85="")),"不通过：数值项目缺小数位或单位",IF(AND(E85="数值",COUNTIF('结果单位'!$B$5:$B$104,G85)=0),"不通过：单位编码不存在","通过")))))))</x:f>
      </x:c>
    </x:row>
    <x:row r="86">
      <x:c r="A86" s="22"/>
      <x:c r="B86" s="22"/>
      <x:c r="C86" s="22"/>
      <x:c r="D86" s="22"/>
      <x:c r="E86" s="22"/>
      <x:c r="F86" s="34"/>
      <x:c r="G86" s="22"/>
      <x:c r="H86" s="22"/>
      <x:c r="I86" s="34"/>
      <x:c r="J86" s="22"/>
      <x:c r="K86" s="22"/>
      <x:c r="L86" s="22"/>
      <x:c r="M86" s="31"/>
      <x:c r="N86" s="31"/>
      <x:c r="O86" s="22"/>
      <x:c r="P86" s="22"/>
      <x:c r="Q86" s="28" t="str">
        <x:f>IF(COUNTA(A86:P86)=0,"",IF(OR(A86="",B86="",C86="",D86="",E86="",H86="",I86="",J86="",K86="",O86=""),"不通过：缺少必填项",IF(COUNTIF($B$5:$B$104,B86)&gt;1,"不通过：编码重复",IF(COUNTIF('专业组'!$B$5:$B$104,D86)=0,"不通过：专业组编码不存在",IF(COUNTIF('标本容器'!$B$5:$B$104,H86)=0,"不通过：标本编码不存在",IF(AND(E86="数值",OR(F86="",G86="")),"不通过：数值项目缺小数位或单位",IF(AND(E86="数值",COUNTIF('结果单位'!$B$5:$B$104,G86)=0),"不通过：单位编码不存在","通过")))))))</x:f>
      </x:c>
    </x:row>
    <x:row r="87">
      <x:c r="A87" s="22"/>
      <x:c r="B87" s="22"/>
      <x:c r="C87" s="22"/>
      <x:c r="D87" s="22"/>
      <x:c r="E87" s="22"/>
      <x:c r="F87" s="34"/>
      <x:c r="G87" s="22"/>
      <x:c r="H87" s="22"/>
      <x:c r="I87" s="34"/>
      <x:c r="J87" s="22"/>
      <x:c r="K87" s="22"/>
      <x:c r="L87" s="22"/>
      <x:c r="M87" s="31"/>
      <x:c r="N87" s="31"/>
      <x:c r="O87" s="22"/>
      <x:c r="P87" s="22"/>
      <x:c r="Q87" s="28" t="str">
        <x:f>IF(COUNTA(A87:P87)=0,"",IF(OR(A87="",B87="",C87="",D87="",E87="",H87="",I87="",J87="",K87="",O87=""),"不通过：缺少必填项",IF(COUNTIF($B$5:$B$104,B87)&gt;1,"不通过：编码重复",IF(COUNTIF('专业组'!$B$5:$B$104,D87)=0,"不通过：专业组编码不存在",IF(COUNTIF('标本容器'!$B$5:$B$104,H87)=0,"不通过：标本编码不存在",IF(AND(E87="数值",OR(F87="",G87="")),"不通过：数值项目缺小数位或单位",IF(AND(E87="数值",COUNTIF('结果单位'!$B$5:$B$104,G87)=0),"不通过：单位编码不存在","通过")))))))</x:f>
      </x:c>
    </x:row>
    <x:row r="88">
      <x:c r="A88" s="22"/>
      <x:c r="B88" s="22"/>
      <x:c r="C88" s="22"/>
      <x:c r="D88" s="22"/>
      <x:c r="E88" s="22"/>
      <x:c r="F88" s="34"/>
      <x:c r="G88" s="22"/>
      <x:c r="H88" s="22"/>
      <x:c r="I88" s="34"/>
      <x:c r="J88" s="22"/>
      <x:c r="K88" s="22"/>
      <x:c r="L88" s="22"/>
      <x:c r="M88" s="31"/>
      <x:c r="N88" s="31"/>
      <x:c r="O88" s="22"/>
      <x:c r="P88" s="22"/>
      <x:c r="Q88" s="28" t="str">
        <x:f>IF(COUNTA(A88:P88)=0,"",IF(OR(A88="",B88="",C88="",D88="",E88="",H88="",I88="",J88="",K88="",O88=""),"不通过：缺少必填项",IF(COUNTIF($B$5:$B$104,B88)&gt;1,"不通过：编码重复",IF(COUNTIF('专业组'!$B$5:$B$104,D88)=0,"不通过：专业组编码不存在",IF(COUNTIF('标本容器'!$B$5:$B$104,H88)=0,"不通过：标本编码不存在",IF(AND(E88="数值",OR(F88="",G88="")),"不通过：数值项目缺小数位或单位",IF(AND(E88="数值",COUNTIF('结果单位'!$B$5:$B$104,G88)=0),"不通过：单位编码不存在","通过")))))))</x:f>
      </x:c>
    </x:row>
    <x:row r="89">
      <x:c r="A89" s="22"/>
      <x:c r="B89" s="22"/>
      <x:c r="C89" s="22"/>
      <x:c r="D89" s="22"/>
      <x:c r="E89" s="22"/>
      <x:c r="F89" s="34"/>
      <x:c r="G89" s="22"/>
      <x:c r="H89" s="22"/>
      <x:c r="I89" s="34"/>
      <x:c r="J89" s="22"/>
      <x:c r="K89" s="22"/>
      <x:c r="L89" s="22"/>
      <x:c r="M89" s="31"/>
      <x:c r="N89" s="31"/>
      <x:c r="O89" s="22"/>
      <x:c r="P89" s="22"/>
      <x:c r="Q89" s="28" t="str">
        <x:f>IF(COUNTA(A89:P89)=0,"",IF(OR(A89="",B89="",C89="",D89="",E89="",H89="",I89="",J89="",K89="",O89=""),"不通过：缺少必填项",IF(COUNTIF($B$5:$B$104,B89)&gt;1,"不通过：编码重复",IF(COUNTIF('专业组'!$B$5:$B$104,D89)=0,"不通过：专业组编码不存在",IF(COUNTIF('标本容器'!$B$5:$B$104,H89)=0,"不通过：标本编码不存在",IF(AND(E89="数值",OR(F89="",G89="")),"不通过：数值项目缺小数位或单位",IF(AND(E89="数值",COUNTIF('结果单位'!$B$5:$B$104,G89)=0),"不通过：单位编码不存在","通过")))))))</x:f>
      </x:c>
    </x:row>
    <x:row r="90">
      <x:c r="A90" s="22"/>
      <x:c r="B90" s="22"/>
      <x:c r="C90" s="22"/>
      <x:c r="D90" s="22"/>
      <x:c r="E90" s="22"/>
      <x:c r="F90" s="34"/>
      <x:c r="G90" s="22"/>
      <x:c r="H90" s="22"/>
      <x:c r="I90" s="34"/>
      <x:c r="J90" s="22"/>
      <x:c r="K90" s="22"/>
      <x:c r="L90" s="22"/>
      <x:c r="M90" s="31"/>
      <x:c r="N90" s="31"/>
      <x:c r="O90" s="22"/>
      <x:c r="P90" s="22"/>
      <x:c r="Q90" s="28" t="str">
        <x:f>IF(COUNTA(A90:P90)=0,"",IF(OR(A90="",B90="",C90="",D90="",E90="",H90="",I90="",J90="",K90="",O90=""),"不通过：缺少必填项",IF(COUNTIF($B$5:$B$104,B90)&gt;1,"不通过：编码重复",IF(COUNTIF('专业组'!$B$5:$B$104,D90)=0,"不通过：专业组编码不存在",IF(COUNTIF('标本容器'!$B$5:$B$104,H90)=0,"不通过：标本编码不存在",IF(AND(E90="数值",OR(F90="",G90="")),"不通过：数值项目缺小数位或单位",IF(AND(E90="数值",COUNTIF('结果单位'!$B$5:$B$104,G90)=0),"不通过：单位编码不存在","通过")))))))</x:f>
      </x:c>
    </x:row>
    <x:row r="91">
      <x:c r="A91" s="22"/>
      <x:c r="B91" s="22"/>
      <x:c r="C91" s="22"/>
      <x:c r="D91" s="22"/>
      <x:c r="E91" s="22"/>
      <x:c r="F91" s="34"/>
      <x:c r="G91" s="22"/>
      <x:c r="H91" s="22"/>
      <x:c r="I91" s="34"/>
      <x:c r="J91" s="22"/>
      <x:c r="K91" s="22"/>
      <x:c r="L91" s="22"/>
      <x:c r="M91" s="31"/>
      <x:c r="N91" s="31"/>
      <x:c r="O91" s="22"/>
      <x:c r="P91" s="22"/>
      <x:c r="Q91" s="28" t="str">
        <x:f>IF(COUNTA(A91:P91)=0,"",IF(OR(A91="",B91="",C91="",D91="",E91="",H91="",I91="",J91="",K91="",O91=""),"不通过：缺少必填项",IF(COUNTIF($B$5:$B$104,B91)&gt;1,"不通过：编码重复",IF(COUNTIF('专业组'!$B$5:$B$104,D91)=0,"不通过：专业组编码不存在",IF(COUNTIF('标本容器'!$B$5:$B$104,H91)=0,"不通过：标本编码不存在",IF(AND(E91="数值",OR(F91="",G91="")),"不通过：数值项目缺小数位或单位",IF(AND(E91="数值",COUNTIF('结果单位'!$B$5:$B$104,G91)=0),"不通过：单位编码不存在","通过")))))))</x:f>
      </x:c>
    </x:row>
    <x:row r="92">
      <x:c r="A92" s="22"/>
      <x:c r="B92" s="22"/>
      <x:c r="C92" s="22"/>
      <x:c r="D92" s="22"/>
      <x:c r="E92" s="22"/>
      <x:c r="F92" s="34"/>
      <x:c r="G92" s="22"/>
      <x:c r="H92" s="22"/>
      <x:c r="I92" s="34"/>
      <x:c r="J92" s="22"/>
      <x:c r="K92" s="22"/>
      <x:c r="L92" s="22"/>
      <x:c r="M92" s="31"/>
      <x:c r="N92" s="31"/>
      <x:c r="O92" s="22"/>
      <x:c r="P92" s="22"/>
      <x:c r="Q92" s="28" t="str">
        <x:f>IF(COUNTA(A92:P92)=0,"",IF(OR(A92="",B92="",C92="",D92="",E92="",H92="",I92="",J92="",K92="",O92=""),"不通过：缺少必填项",IF(COUNTIF($B$5:$B$104,B92)&gt;1,"不通过：编码重复",IF(COUNTIF('专业组'!$B$5:$B$104,D92)=0,"不通过：专业组编码不存在",IF(COUNTIF('标本容器'!$B$5:$B$104,H92)=0,"不通过：标本编码不存在",IF(AND(E92="数值",OR(F92="",G92="")),"不通过：数值项目缺小数位或单位",IF(AND(E92="数值",COUNTIF('结果单位'!$B$5:$B$104,G92)=0),"不通过：单位编码不存在","通过")))))))</x:f>
      </x:c>
    </x:row>
    <x:row r="93">
      <x:c r="A93" s="22"/>
      <x:c r="B93" s="22"/>
      <x:c r="C93" s="22"/>
      <x:c r="D93" s="22"/>
      <x:c r="E93" s="22"/>
      <x:c r="F93" s="34"/>
      <x:c r="G93" s="22"/>
      <x:c r="H93" s="22"/>
      <x:c r="I93" s="34"/>
      <x:c r="J93" s="22"/>
      <x:c r="K93" s="22"/>
      <x:c r="L93" s="22"/>
      <x:c r="M93" s="31"/>
      <x:c r="N93" s="31"/>
      <x:c r="O93" s="22"/>
      <x:c r="P93" s="22"/>
      <x:c r="Q93" s="28" t="str">
        <x:f>IF(COUNTA(A93:P93)=0,"",IF(OR(A93="",B93="",C93="",D93="",E93="",H93="",I93="",J93="",K93="",O93=""),"不通过：缺少必填项",IF(COUNTIF($B$5:$B$104,B93)&gt;1,"不通过：编码重复",IF(COUNTIF('专业组'!$B$5:$B$104,D93)=0,"不通过：专业组编码不存在",IF(COUNTIF('标本容器'!$B$5:$B$104,H93)=0,"不通过：标本编码不存在",IF(AND(E93="数值",OR(F93="",G93="")),"不通过：数值项目缺小数位或单位",IF(AND(E93="数值",COUNTIF('结果单位'!$B$5:$B$104,G93)=0),"不通过：单位编码不存在","通过")))))))</x:f>
      </x:c>
    </x:row>
    <x:row r="94">
      <x:c r="A94" s="22"/>
      <x:c r="B94" s="22"/>
      <x:c r="C94" s="22"/>
      <x:c r="D94" s="22"/>
      <x:c r="E94" s="22"/>
      <x:c r="F94" s="34"/>
      <x:c r="G94" s="22"/>
      <x:c r="H94" s="22"/>
      <x:c r="I94" s="34"/>
      <x:c r="J94" s="22"/>
      <x:c r="K94" s="22"/>
      <x:c r="L94" s="22"/>
      <x:c r="M94" s="31"/>
      <x:c r="N94" s="31"/>
      <x:c r="O94" s="22"/>
      <x:c r="P94" s="22"/>
      <x:c r="Q94" s="28" t="str">
        <x:f>IF(COUNTA(A94:P94)=0,"",IF(OR(A94="",B94="",C94="",D94="",E94="",H94="",I94="",J94="",K94="",O94=""),"不通过：缺少必填项",IF(COUNTIF($B$5:$B$104,B94)&gt;1,"不通过：编码重复",IF(COUNTIF('专业组'!$B$5:$B$104,D94)=0,"不通过：专业组编码不存在",IF(COUNTIF('标本容器'!$B$5:$B$104,H94)=0,"不通过：标本编码不存在",IF(AND(E94="数值",OR(F94="",G94="")),"不通过：数值项目缺小数位或单位",IF(AND(E94="数值",COUNTIF('结果单位'!$B$5:$B$104,G94)=0),"不通过：单位编码不存在","通过")))))))</x:f>
      </x:c>
    </x:row>
    <x:row r="95">
      <x:c r="A95" s="22"/>
      <x:c r="B95" s="22"/>
      <x:c r="C95" s="22"/>
      <x:c r="D95" s="22"/>
      <x:c r="E95" s="22"/>
      <x:c r="F95" s="34"/>
      <x:c r="G95" s="22"/>
      <x:c r="H95" s="22"/>
      <x:c r="I95" s="34"/>
      <x:c r="J95" s="22"/>
      <x:c r="K95" s="22"/>
      <x:c r="L95" s="22"/>
      <x:c r="M95" s="31"/>
      <x:c r="N95" s="31"/>
      <x:c r="O95" s="22"/>
      <x:c r="P95" s="22"/>
      <x:c r="Q95" s="28" t="str">
        <x:f>IF(COUNTA(A95:P95)=0,"",IF(OR(A95="",B95="",C95="",D95="",E95="",H95="",I95="",J95="",K95="",O95=""),"不通过：缺少必填项",IF(COUNTIF($B$5:$B$104,B95)&gt;1,"不通过：编码重复",IF(COUNTIF('专业组'!$B$5:$B$104,D95)=0,"不通过：专业组编码不存在",IF(COUNTIF('标本容器'!$B$5:$B$104,H95)=0,"不通过：标本编码不存在",IF(AND(E95="数值",OR(F95="",G95="")),"不通过：数值项目缺小数位或单位",IF(AND(E95="数值",COUNTIF('结果单位'!$B$5:$B$104,G95)=0),"不通过：单位编码不存在","通过")))))))</x:f>
      </x:c>
    </x:row>
    <x:row r="96">
      <x:c r="A96" s="22"/>
      <x:c r="B96" s="22"/>
      <x:c r="C96" s="22"/>
      <x:c r="D96" s="22"/>
      <x:c r="E96" s="22"/>
      <x:c r="F96" s="34"/>
      <x:c r="G96" s="22"/>
      <x:c r="H96" s="22"/>
      <x:c r="I96" s="34"/>
      <x:c r="J96" s="22"/>
      <x:c r="K96" s="22"/>
      <x:c r="L96" s="22"/>
      <x:c r="M96" s="31"/>
      <x:c r="N96" s="31"/>
      <x:c r="O96" s="22"/>
      <x:c r="P96" s="22"/>
      <x:c r="Q96" s="28" t="str">
        <x:f>IF(COUNTA(A96:P96)=0,"",IF(OR(A96="",B96="",C96="",D96="",E96="",H96="",I96="",J96="",K96="",O96=""),"不通过：缺少必填项",IF(COUNTIF($B$5:$B$104,B96)&gt;1,"不通过：编码重复",IF(COUNTIF('专业组'!$B$5:$B$104,D96)=0,"不通过：专业组编码不存在",IF(COUNTIF('标本容器'!$B$5:$B$104,H96)=0,"不通过：标本编码不存在",IF(AND(E96="数值",OR(F96="",G96="")),"不通过：数值项目缺小数位或单位",IF(AND(E96="数值",COUNTIF('结果单位'!$B$5:$B$104,G96)=0),"不通过：单位编码不存在","通过")))))))</x:f>
      </x:c>
    </x:row>
    <x:row r="97">
      <x:c r="A97" s="22"/>
      <x:c r="B97" s="22"/>
      <x:c r="C97" s="22"/>
      <x:c r="D97" s="22"/>
      <x:c r="E97" s="22"/>
      <x:c r="F97" s="34"/>
      <x:c r="G97" s="22"/>
      <x:c r="H97" s="22"/>
      <x:c r="I97" s="34"/>
      <x:c r="J97" s="22"/>
      <x:c r="K97" s="22"/>
      <x:c r="L97" s="22"/>
      <x:c r="M97" s="31"/>
      <x:c r="N97" s="31"/>
      <x:c r="O97" s="22"/>
      <x:c r="P97" s="22"/>
      <x:c r="Q97" s="28" t="str">
        <x:f>IF(COUNTA(A97:P97)=0,"",IF(OR(A97="",B97="",C97="",D97="",E97="",H97="",I97="",J97="",K97="",O97=""),"不通过：缺少必填项",IF(COUNTIF($B$5:$B$104,B97)&gt;1,"不通过：编码重复",IF(COUNTIF('专业组'!$B$5:$B$104,D97)=0,"不通过：专业组编码不存在",IF(COUNTIF('标本容器'!$B$5:$B$104,H97)=0,"不通过：标本编码不存在",IF(AND(E97="数值",OR(F97="",G97="")),"不通过：数值项目缺小数位或单位",IF(AND(E97="数值",COUNTIF('结果单位'!$B$5:$B$104,G97)=0),"不通过：单位编码不存在","通过")))))))</x:f>
      </x:c>
    </x:row>
    <x:row r="98">
      <x:c r="A98" s="22"/>
      <x:c r="B98" s="22"/>
      <x:c r="C98" s="22"/>
      <x:c r="D98" s="22"/>
      <x:c r="E98" s="22"/>
      <x:c r="F98" s="34"/>
      <x:c r="G98" s="22"/>
      <x:c r="H98" s="22"/>
      <x:c r="I98" s="34"/>
      <x:c r="J98" s="22"/>
      <x:c r="K98" s="22"/>
      <x:c r="L98" s="22"/>
      <x:c r="M98" s="31"/>
      <x:c r="N98" s="31"/>
      <x:c r="O98" s="22"/>
      <x:c r="P98" s="22"/>
      <x:c r="Q98" s="28" t="str">
        <x:f>IF(COUNTA(A98:P98)=0,"",IF(OR(A98="",B98="",C98="",D98="",E98="",H98="",I98="",J98="",K98="",O98=""),"不通过：缺少必填项",IF(COUNTIF($B$5:$B$104,B98)&gt;1,"不通过：编码重复",IF(COUNTIF('专业组'!$B$5:$B$104,D98)=0,"不通过：专业组编码不存在",IF(COUNTIF('标本容器'!$B$5:$B$104,H98)=0,"不通过：标本编码不存在",IF(AND(E98="数值",OR(F98="",G98="")),"不通过：数值项目缺小数位或单位",IF(AND(E98="数值",COUNTIF('结果单位'!$B$5:$B$104,G98)=0),"不通过：单位编码不存在","通过")))))))</x:f>
      </x:c>
    </x:row>
    <x:row r="99">
      <x:c r="A99" s="22"/>
      <x:c r="B99" s="22"/>
      <x:c r="C99" s="22"/>
      <x:c r="D99" s="22"/>
      <x:c r="E99" s="22"/>
      <x:c r="F99" s="34"/>
      <x:c r="G99" s="22"/>
      <x:c r="H99" s="22"/>
      <x:c r="I99" s="34"/>
      <x:c r="J99" s="22"/>
      <x:c r="K99" s="22"/>
      <x:c r="L99" s="22"/>
      <x:c r="M99" s="31"/>
      <x:c r="N99" s="31"/>
      <x:c r="O99" s="22"/>
      <x:c r="P99" s="22"/>
      <x:c r="Q99" s="28" t="str">
        <x:f>IF(COUNTA(A99:P99)=0,"",IF(OR(A99="",B99="",C99="",D99="",E99="",H99="",I99="",J99="",K99="",O99=""),"不通过：缺少必填项",IF(COUNTIF($B$5:$B$104,B99)&gt;1,"不通过：编码重复",IF(COUNTIF('专业组'!$B$5:$B$104,D99)=0,"不通过：专业组编码不存在",IF(COUNTIF('标本容器'!$B$5:$B$104,H99)=0,"不通过：标本编码不存在",IF(AND(E99="数值",OR(F99="",G99="")),"不通过：数值项目缺小数位或单位",IF(AND(E99="数值",COUNTIF('结果单位'!$B$5:$B$104,G99)=0),"不通过：单位编码不存在","通过")))))))</x:f>
      </x:c>
    </x:row>
    <x:row r="100">
      <x:c r="A100" s="22"/>
      <x:c r="B100" s="22"/>
      <x:c r="C100" s="22"/>
      <x:c r="D100" s="22"/>
      <x:c r="E100" s="22"/>
      <x:c r="F100" s="34"/>
      <x:c r="G100" s="22"/>
      <x:c r="H100" s="22"/>
      <x:c r="I100" s="34"/>
      <x:c r="J100" s="22"/>
      <x:c r="K100" s="22"/>
      <x:c r="L100" s="22"/>
      <x:c r="M100" s="31"/>
      <x:c r="N100" s="31"/>
      <x:c r="O100" s="22"/>
      <x:c r="P100" s="22"/>
      <x:c r="Q100" s="28" t="str">
        <x:f>IF(COUNTA(A100:P100)=0,"",IF(OR(A100="",B100="",C100="",D100="",E100="",H100="",I100="",J100="",K100="",O100=""),"不通过：缺少必填项",IF(COUNTIF($B$5:$B$104,B100)&gt;1,"不通过：编码重复",IF(COUNTIF('专业组'!$B$5:$B$104,D100)=0,"不通过：专业组编码不存在",IF(COUNTIF('标本容器'!$B$5:$B$104,H100)=0,"不通过：标本编码不存在",IF(AND(E100="数值",OR(F100="",G100="")),"不通过：数值项目缺小数位或单位",IF(AND(E100="数值",COUNTIF('结果单位'!$B$5:$B$104,G100)=0),"不通过：单位编码不存在","通过")))))))</x:f>
      </x:c>
    </x:row>
    <x:row r="101">
      <x:c r="A101" s="22"/>
      <x:c r="B101" s="22"/>
      <x:c r="C101" s="22"/>
      <x:c r="D101" s="22"/>
      <x:c r="E101" s="22"/>
      <x:c r="F101" s="34"/>
      <x:c r="G101" s="22"/>
      <x:c r="H101" s="22"/>
      <x:c r="I101" s="34"/>
      <x:c r="J101" s="22"/>
      <x:c r="K101" s="22"/>
      <x:c r="L101" s="22"/>
      <x:c r="M101" s="31"/>
      <x:c r="N101" s="31"/>
      <x:c r="O101" s="22"/>
      <x:c r="P101" s="22"/>
      <x:c r="Q101" s="28" t="str">
        <x:f>IF(COUNTA(A101:P101)=0,"",IF(OR(A101="",B101="",C101="",D101="",E101="",H101="",I101="",J101="",K101="",O101=""),"不通过：缺少必填项",IF(COUNTIF($B$5:$B$104,B101)&gt;1,"不通过：编码重复",IF(COUNTIF('专业组'!$B$5:$B$104,D101)=0,"不通过：专业组编码不存在",IF(COUNTIF('标本容器'!$B$5:$B$104,H101)=0,"不通过：标本编码不存在",IF(AND(E101="数值",OR(F101="",G101="")),"不通过：数值项目缺小数位或单位",IF(AND(E101="数值",COUNTIF('结果单位'!$B$5:$B$104,G101)=0),"不通过：单位编码不存在","通过")))))))</x:f>
      </x:c>
    </x:row>
    <x:row r="102">
      <x:c r="A102" s="22"/>
      <x:c r="B102" s="22"/>
      <x:c r="C102" s="22"/>
      <x:c r="D102" s="22"/>
      <x:c r="E102" s="22"/>
      <x:c r="F102" s="34"/>
      <x:c r="G102" s="22"/>
      <x:c r="H102" s="22"/>
      <x:c r="I102" s="34"/>
      <x:c r="J102" s="22"/>
      <x:c r="K102" s="22"/>
      <x:c r="L102" s="22"/>
      <x:c r="M102" s="31"/>
      <x:c r="N102" s="31"/>
      <x:c r="O102" s="22"/>
      <x:c r="P102" s="22"/>
      <x:c r="Q102" s="28" t="str">
        <x:f>IF(COUNTA(A102:P102)=0,"",IF(OR(A102="",B102="",C102="",D102="",E102="",H102="",I102="",J102="",K102="",O102=""),"不通过：缺少必填项",IF(COUNTIF($B$5:$B$104,B102)&gt;1,"不通过：编码重复",IF(COUNTIF('专业组'!$B$5:$B$104,D102)=0,"不通过：专业组编码不存在",IF(COUNTIF('标本容器'!$B$5:$B$104,H102)=0,"不通过：标本编码不存在",IF(AND(E102="数值",OR(F102="",G102="")),"不通过：数值项目缺小数位或单位",IF(AND(E102="数值",COUNTIF('结果单位'!$B$5:$B$104,G102)=0),"不通过：单位编码不存在","通过")))))))</x:f>
      </x:c>
    </x:row>
    <x:row r="103">
      <x:c r="A103" s="22"/>
      <x:c r="B103" s="22"/>
      <x:c r="C103" s="22"/>
      <x:c r="D103" s="22"/>
      <x:c r="E103" s="22"/>
      <x:c r="F103" s="34"/>
      <x:c r="G103" s="22"/>
      <x:c r="H103" s="22"/>
      <x:c r="I103" s="34"/>
      <x:c r="J103" s="22"/>
      <x:c r="K103" s="22"/>
      <x:c r="L103" s="22"/>
      <x:c r="M103" s="31"/>
      <x:c r="N103" s="31"/>
      <x:c r="O103" s="22"/>
      <x:c r="P103" s="22"/>
      <x:c r="Q103" s="28" t="str">
        <x:f>IF(COUNTA(A103:P103)=0,"",IF(OR(A103="",B103="",C103="",D103="",E103="",H103="",I103="",J103="",K103="",O103=""),"不通过：缺少必填项",IF(COUNTIF($B$5:$B$104,B103)&gt;1,"不通过：编码重复",IF(COUNTIF('专业组'!$B$5:$B$104,D103)=0,"不通过：专业组编码不存在",IF(COUNTIF('标本容器'!$B$5:$B$104,H103)=0,"不通过：标本编码不存在",IF(AND(E103="数值",OR(F103="",G103="")),"不通过：数值项目缺小数位或单位",IF(AND(E103="数值",COUNTIF('结果单位'!$B$5:$B$104,G103)=0),"不通过：单位编码不存在","通过")))))))</x:f>
      </x:c>
    </x:row>
    <x:row r="104">
      <x:c r="A104" s="23"/>
      <x:c r="B104" s="23"/>
      <x:c r="C104" s="23"/>
      <x:c r="D104" s="23"/>
      <x:c r="E104" s="23"/>
      <x:c r="F104" s="35"/>
      <x:c r="G104" s="23"/>
      <x:c r="H104" s="23"/>
      <x:c r="I104" s="35"/>
      <x:c r="J104" s="23"/>
      <x:c r="K104" s="23"/>
      <x:c r="L104" s="23"/>
      <x:c r="M104" s="32"/>
      <x:c r="N104" s="32"/>
      <x:c r="O104" s="23"/>
      <x:c r="P104" s="23"/>
      <x:c r="Q104" s="29" t="str">
        <x:f>IF(COUNTA(A104:P104)=0,"",IF(OR(A104="",B104="",C104="",D104="",E104="",H104="",I104="",J104="",K104="",O104=""),"不通过：缺少必填项",IF(COUNTIF($B$5:$B$104,B104)&gt;1,"不通过：编码重复",IF(COUNTIF('专业组'!$B$5:$B$104,D104)=0,"不通过：专业组编码不存在",IF(COUNTIF('标本容器'!$B$5:$B$104,H104)=0,"不通过：标本编码不存在",IF(AND(E104="数值",OR(F104="",G104="")),"不通过：数值项目缺小数位或单位",IF(AND(E104="数值",COUNTIF('结果单位'!$B$5:$B$104,G104)=0),"不通过：单位编码不存在","通过")))))))</x:f>
      </x:c>
    </x:row>
  </x:sheetData>
  <x:mergeCells>
    <x:mergeCell ref="A1:Q1"/>
    <x:mergeCell ref="A2:Q2"/>
  </x:mergeCells>
  <x:conditionalFormatting sqref="Q5:Q104">
    <x:cfRule type="beginsWith" dxfId="6" priority="1" operator="beginsWith" text="不通过"/>
    <x:cfRule type="cellIs" dxfId="7" priority="2" operator="equal">
      <x:formula>"通过"</x:formula>
    </x:cfRule>
  </x:conditionalFormatting>
  <x:dataValidations count="4">
    <x:dataValidation type="list" sqref="A5:A104">
      <x:formula1>"新增,修改,停用"</x:formula1>
    </x:dataValidation>
    <x:dataValidation type="list" sqref="E5:E104">
      <x:formula1>"数值,定性,文本,日期,多组件"</x:formula1>
    </x:dataValidation>
    <x:dataValidation type="list" sqref="J5:J104">
      <x:formula1>"是,否"</x:formula1>
    </x:dataValidation>
    <x:dataValidation type="list" sqref="K5:K104">
      <x:formula1>"启用,停用"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34" hidden="0" customWidth="1"/>
    <x:col min="11" max="11" width="20" hidden="0" customWidth="1"/>
    <x:col min="12" max="12" width="12" hidden="0" customWidth="1"/>
    <x:col min="13" max="13" width="24" hidden="0" customWidth="1"/>
    <x:col min="14" max="14" width="26" hidden="0" customWidth="1"/>
    <x:col min="15" max="15" width="28" hidden="0" customWidth="1"/>
  </x:cols>
  <x:sheetData>
    <x:row r="1" ht="32" customHeight="1">
      <x:c r="A1" s="3" t="str">
        <x:v>标本类型、采集容器与稳定性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2" customHeight="1">
      <x:c r="A2" s="7" t="str">
        <x:v>由检验科、护理和采血岗位共同审定。标本与容器组合必须唯一，并写明采集量、保存条件、稳定时间和拒收规则。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2" customHeight="1">
      <x:c r="A4" s="12" t="str">
        <x:v>数据状态*</x:v>
      </x:c>
      <x:c r="B4" s="12" t="str">
        <x:v>标本类型编码*</x:v>
      </x:c>
      <x:c r="C4" s="12" t="str">
        <x:v>标本名称*</x:v>
      </x:c>
      <x:c r="D4" s="12" t="str">
        <x:v>容器编码*</x:v>
      </x:c>
      <x:c r="E4" s="12" t="str">
        <x:v>容器名称*</x:v>
      </x:c>
      <x:c r="F4" s="12" t="str">
        <x:v>默认采集量</x:v>
      </x:c>
      <x:c r="G4" s="12" t="str">
        <x:v>采集量单位</x:v>
      </x:c>
      <x:c r="H4" s="12" t="str">
        <x:v>保存温度</x:v>
      </x:c>
      <x:c r="I4" s="12" t="str">
        <x:v>稳定时长(小时)</x:v>
      </x:c>
      <x:c r="J4" s="12" t="str">
        <x:v>拒收规则*</x:v>
      </x:c>
      <x:c r="K4" s="12" t="str">
        <x:v>SNOMED CT编码</x:v>
      </x:c>
      <x:c r="L4" s="12" t="str">
        <x:v>启用状态*</x:v>
      </x:c>
      <x:c r="M4" s="12" t="str">
        <x:v>依据/版本*</x:v>
      </x:c>
      <x:c r="N4" s="12" t="str">
        <x:v>备注</x:v>
      </x:c>
      <x:c r="O4" s="12" t="str">
        <x:v>校验结果</x:v>
      </x:c>
    </x:row>
    <x:row r="5">
      <x:c r="A5" s="21"/>
      <x:c r="B5" s="21"/>
      <x:c r="C5" s="21"/>
      <x:c r="D5" s="21"/>
      <x:c r="E5" s="21"/>
      <x:c r="F5" s="36"/>
      <x:c r="G5" s="21"/>
      <x:c r="H5" s="21"/>
      <x:c r="I5" s="36"/>
      <x:c r="J5" s="21"/>
      <x:c r="K5" s="21"/>
      <x:c r="L5" s="21"/>
      <x:c r="M5" s="21"/>
      <x:c r="N5" s="21"/>
      <x:c r="O5" s="27" t="str">
        <x:f>IF(COUNTA(A5:N5)=0,"",IF(OR(A5="",B5="",C5="",D5="",E5="",J5="",L5="",M5=""),"不通过：缺少必填项",IF(COUNTIFS($B$5:$B$104,B5,$D$5:$D$104,D5)&gt;1,"不通过：标本容器组合重复","通过")))</x:f>
      </x:c>
    </x:row>
    <x:row r="6">
      <x:c r="A6" s="22"/>
      <x:c r="B6" s="22"/>
      <x:c r="C6" s="22"/>
      <x:c r="D6" s="22"/>
      <x:c r="E6" s="22"/>
      <x:c r="F6" s="37"/>
      <x:c r="G6" s="22"/>
      <x:c r="H6" s="22"/>
      <x:c r="I6" s="37"/>
      <x:c r="J6" s="22"/>
      <x:c r="K6" s="22"/>
      <x:c r="L6" s="22"/>
      <x:c r="M6" s="22"/>
      <x:c r="N6" s="22"/>
      <x:c r="O6" s="28" t="str">
        <x:f>IF(COUNTA(A6:N6)=0,"",IF(OR(A6="",B6="",C6="",D6="",E6="",J6="",L6="",M6=""),"不通过：缺少必填项",IF(COUNTIFS($B$5:$B$104,B6,$D$5:$D$104,D6)&gt;1,"不通过：标本容器组合重复","通过")))</x:f>
      </x:c>
    </x:row>
    <x:row r="7">
      <x:c r="A7" s="22"/>
      <x:c r="B7" s="22"/>
      <x:c r="C7" s="22"/>
      <x:c r="D7" s="22"/>
      <x:c r="E7" s="22"/>
      <x:c r="F7" s="37"/>
      <x:c r="G7" s="22"/>
      <x:c r="H7" s="22"/>
      <x:c r="I7" s="37"/>
      <x:c r="J7" s="22"/>
      <x:c r="K7" s="22"/>
      <x:c r="L7" s="22"/>
      <x:c r="M7" s="22"/>
      <x:c r="N7" s="22"/>
      <x:c r="O7" s="28" t="str">
        <x:f>IF(COUNTA(A7:N7)=0,"",IF(OR(A7="",B7="",C7="",D7="",E7="",J7="",L7="",M7=""),"不通过：缺少必填项",IF(COUNTIFS($B$5:$B$104,B7,$D$5:$D$104,D7)&gt;1,"不通过：标本容器组合重复","通过")))</x:f>
      </x:c>
    </x:row>
    <x:row r="8">
      <x:c r="A8" s="22"/>
      <x:c r="B8" s="22"/>
      <x:c r="C8" s="22"/>
      <x:c r="D8" s="22"/>
      <x:c r="E8" s="22"/>
      <x:c r="F8" s="37"/>
      <x:c r="G8" s="22"/>
      <x:c r="H8" s="22"/>
      <x:c r="I8" s="37"/>
      <x:c r="J8" s="22"/>
      <x:c r="K8" s="22"/>
      <x:c r="L8" s="22"/>
      <x:c r="M8" s="22"/>
      <x:c r="N8" s="22"/>
      <x:c r="O8" s="28" t="str">
        <x:f>IF(COUNTA(A8:N8)=0,"",IF(OR(A8="",B8="",C8="",D8="",E8="",J8="",L8="",M8=""),"不通过：缺少必填项",IF(COUNTIFS($B$5:$B$104,B8,$D$5:$D$104,D8)&gt;1,"不通过：标本容器组合重复","通过")))</x:f>
      </x:c>
    </x:row>
    <x:row r="9">
      <x:c r="A9" s="22"/>
      <x:c r="B9" s="22"/>
      <x:c r="C9" s="22"/>
      <x:c r="D9" s="22"/>
      <x:c r="E9" s="22"/>
      <x:c r="F9" s="37"/>
      <x:c r="G9" s="22"/>
      <x:c r="H9" s="22"/>
      <x:c r="I9" s="37"/>
      <x:c r="J9" s="22"/>
      <x:c r="K9" s="22"/>
      <x:c r="L9" s="22"/>
      <x:c r="M9" s="22"/>
      <x:c r="N9" s="22"/>
      <x:c r="O9" s="28" t="str">
        <x:f>IF(COUNTA(A9:N9)=0,"",IF(OR(A9="",B9="",C9="",D9="",E9="",J9="",L9="",M9=""),"不通过：缺少必填项",IF(COUNTIFS($B$5:$B$104,B9,$D$5:$D$104,D9)&gt;1,"不通过：标本容器组合重复","通过")))</x:f>
      </x:c>
    </x:row>
    <x:row r="10">
      <x:c r="A10" s="22"/>
      <x:c r="B10" s="22"/>
      <x:c r="C10" s="22"/>
      <x:c r="D10" s="22"/>
      <x:c r="E10" s="22"/>
      <x:c r="F10" s="37"/>
      <x:c r="G10" s="22"/>
      <x:c r="H10" s="22"/>
      <x:c r="I10" s="37"/>
      <x:c r="J10" s="22"/>
      <x:c r="K10" s="22"/>
      <x:c r="L10" s="22"/>
      <x:c r="M10" s="22"/>
      <x:c r="N10" s="22"/>
      <x:c r="O10" s="28" t="str">
        <x:f>IF(COUNTA(A10:N10)=0,"",IF(OR(A10="",B10="",C10="",D10="",E10="",J10="",L10="",M10=""),"不通过：缺少必填项",IF(COUNTIFS($B$5:$B$104,B10,$D$5:$D$104,D10)&gt;1,"不通过：标本容器组合重复","通过")))</x:f>
      </x:c>
    </x:row>
    <x:row r="11">
      <x:c r="A11" s="22"/>
      <x:c r="B11" s="22"/>
      <x:c r="C11" s="22"/>
      <x:c r="D11" s="22"/>
      <x:c r="E11" s="22"/>
      <x:c r="F11" s="37"/>
      <x:c r="G11" s="22"/>
      <x:c r="H11" s="22"/>
      <x:c r="I11" s="37"/>
      <x:c r="J11" s="22"/>
      <x:c r="K11" s="22"/>
      <x:c r="L11" s="22"/>
      <x:c r="M11" s="22"/>
      <x:c r="N11" s="22"/>
      <x:c r="O11" s="28" t="str">
        <x:f>IF(COUNTA(A11:N11)=0,"",IF(OR(A11="",B11="",C11="",D11="",E11="",J11="",L11="",M11=""),"不通过：缺少必填项",IF(COUNTIFS($B$5:$B$104,B11,$D$5:$D$104,D11)&gt;1,"不通过：标本容器组合重复","通过")))</x:f>
      </x:c>
    </x:row>
    <x:row r="12">
      <x:c r="A12" s="22"/>
      <x:c r="B12" s="22"/>
      <x:c r="C12" s="22"/>
      <x:c r="D12" s="22"/>
      <x:c r="E12" s="22"/>
      <x:c r="F12" s="37"/>
      <x:c r="G12" s="22"/>
      <x:c r="H12" s="22"/>
      <x:c r="I12" s="37"/>
      <x:c r="J12" s="22"/>
      <x:c r="K12" s="22"/>
      <x:c r="L12" s="22"/>
      <x:c r="M12" s="22"/>
      <x:c r="N12" s="22"/>
      <x:c r="O12" s="28" t="str">
        <x:f>IF(COUNTA(A12:N12)=0,"",IF(OR(A12="",B12="",C12="",D12="",E12="",J12="",L12="",M12=""),"不通过：缺少必填项",IF(COUNTIFS($B$5:$B$104,B12,$D$5:$D$104,D12)&gt;1,"不通过：标本容器组合重复","通过")))</x:f>
      </x:c>
    </x:row>
    <x:row r="13">
      <x:c r="A13" s="22"/>
      <x:c r="B13" s="22"/>
      <x:c r="C13" s="22"/>
      <x:c r="D13" s="22"/>
      <x:c r="E13" s="22"/>
      <x:c r="F13" s="37"/>
      <x:c r="G13" s="22"/>
      <x:c r="H13" s="22"/>
      <x:c r="I13" s="37"/>
      <x:c r="J13" s="22"/>
      <x:c r="K13" s="22"/>
      <x:c r="L13" s="22"/>
      <x:c r="M13" s="22"/>
      <x:c r="N13" s="22"/>
      <x:c r="O13" s="28" t="str">
        <x:f>IF(COUNTA(A13:N13)=0,"",IF(OR(A13="",B13="",C13="",D13="",E13="",J13="",L13="",M13=""),"不通过：缺少必填项",IF(COUNTIFS($B$5:$B$104,B13,$D$5:$D$104,D13)&gt;1,"不通过：标本容器组合重复","通过")))</x:f>
      </x:c>
    </x:row>
    <x:row r="14">
      <x:c r="A14" s="22"/>
      <x:c r="B14" s="22"/>
      <x:c r="C14" s="22"/>
      <x:c r="D14" s="22"/>
      <x:c r="E14" s="22"/>
      <x:c r="F14" s="37"/>
      <x:c r="G14" s="22"/>
      <x:c r="H14" s="22"/>
      <x:c r="I14" s="37"/>
      <x:c r="J14" s="22"/>
      <x:c r="K14" s="22"/>
      <x:c r="L14" s="22"/>
      <x:c r="M14" s="22"/>
      <x:c r="N14" s="22"/>
      <x:c r="O14" s="28" t="str">
        <x:f>IF(COUNTA(A14:N14)=0,"",IF(OR(A14="",B14="",C14="",D14="",E14="",J14="",L14="",M14=""),"不通过：缺少必填项",IF(COUNTIFS($B$5:$B$104,B14,$D$5:$D$104,D14)&gt;1,"不通过：标本容器组合重复","通过")))</x:f>
      </x:c>
    </x:row>
    <x:row r="15">
      <x:c r="A15" s="22"/>
      <x:c r="B15" s="22"/>
      <x:c r="C15" s="22"/>
      <x:c r="D15" s="22"/>
      <x:c r="E15" s="22"/>
      <x:c r="F15" s="37"/>
      <x:c r="G15" s="22"/>
      <x:c r="H15" s="22"/>
      <x:c r="I15" s="37"/>
      <x:c r="J15" s="22"/>
      <x:c r="K15" s="22"/>
      <x:c r="L15" s="22"/>
      <x:c r="M15" s="22"/>
      <x:c r="N15" s="22"/>
      <x:c r="O15" s="28" t="str">
        <x:f>IF(COUNTA(A15:N15)=0,"",IF(OR(A15="",B15="",C15="",D15="",E15="",J15="",L15="",M15=""),"不通过：缺少必填项",IF(COUNTIFS($B$5:$B$104,B15,$D$5:$D$104,D15)&gt;1,"不通过：标本容器组合重复","通过")))</x:f>
      </x:c>
    </x:row>
    <x:row r="16">
      <x:c r="A16" s="22"/>
      <x:c r="B16" s="22"/>
      <x:c r="C16" s="22"/>
      <x:c r="D16" s="22"/>
      <x:c r="E16" s="22"/>
      <x:c r="F16" s="37"/>
      <x:c r="G16" s="22"/>
      <x:c r="H16" s="22"/>
      <x:c r="I16" s="37"/>
      <x:c r="J16" s="22"/>
      <x:c r="K16" s="22"/>
      <x:c r="L16" s="22"/>
      <x:c r="M16" s="22"/>
      <x:c r="N16" s="22"/>
      <x:c r="O16" s="28" t="str">
        <x:f>IF(COUNTA(A16:N16)=0,"",IF(OR(A16="",B16="",C16="",D16="",E16="",J16="",L16="",M16=""),"不通过：缺少必填项",IF(COUNTIFS($B$5:$B$104,B16,$D$5:$D$104,D16)&gt;1,"不通过：标本容器组合重复","通过")))</x:f>
      </x:c>
    </x:row>
    <x:row r="17">
      <x:c r="A17" s="22"/>
      <x:c r="B17" s="22"/>
      <x:c r="C17" s="22"/>
      <x:c r="D17" s="22"/>
      <x:c r="E17" s="22"/>
      <x:c r="F17" s="37"/>
      <x:c r="G17" s="22"/>
      <x:c r="H17" s="22"/>
      <x:c r="I17" s="37"/>
      <x:c r="J17" s="22"/>
      <x:c r="K17" s="22"/>
      <x:c r="L17" s="22"/>
      <x:c r="M17" s="22"/>
      <x:c r="N17" s="22"/>
      <x:c r="O17" s="28" t="str">
        <x:f>IF(COUNTA(A17:N17)=0,"",IF(OR(A17="",B17="",C17="",D17="",E17="",J17="",L17="",M17=""),"不通过：缺少必填项",IF(COUNTIFS($B$5:$B$104,B17,$D$5:$D$104,D17)&gt;1,"不通过：标本容器组合重复","通过")))</x:f>
      </x:c>
    </x:row>
    <x:row r="18">
      <x:c r="A18" s="22"/>
      <x:c r="B18" s="22"/>
      <x:c r="C18" s="22"/>
      <x:c r="D18" s="22"/>
      <x:c r="E18" s="22"/>
      <x:c r="F18" s="37"/>
      <x:c r="G18" s="22"/>
      <x:c r="H18" s="22"/>
      <x:c r="I18" s="37"/>
      <x:c r="J18" s="22"/>
      <x:c r="K18" s="22"/>
      <x:c r="L18" s="22"/>
      <x:c r="M18" s="22"/>
      <x:c r="N18" s="22"/>
      <x:c r="O18" s="28" t="str">
        <x:f>IF(COUNTA(A18:N18)=0,"",IF(OR(A18="",B18="",C18="",D18="",E18="",J18="",L18="",M18=""),"不通过：缺少必填项",IF(COUNTIFS($B$5:$B$104,B18,$D$5:$D$104,D18)&gt;1,"不通过：标本容器组合重复","通过")))</x:f>
      </x:c>
    </x:row>
    <x:row r="19">
      <x:c r="A19" s="22"/>
      <x:c r="B19" s="22"/>
      <x:c r="C19" s="22"/>
      <x:c r="D19" s="22"/>
      <x:c r="E19" s="22"/>
      <x:c r="F19" s="37"/>
      <x:c r="G19" s="22"/>
      <x:c r="H19" s="22"/>
      <x:c r="I19" s="37"/>
      <x:c r="J19" s="22"/>
      <x:c r="K19" s="22"/>
      <x:c r="L19" s="22"/>
      <x:c r="M19" s="22"/>
      <x:c r="N19" s="22"/>
      <x:c r="O19" s="28" t="str">
        <x:f>IF(COUNTA(A19:N19)=0,"",IF(OR(A19="",B19="",C19="",D19="",E19="",J19="",L19="",M19=""),"不通过：缺少必填项",IF(COUNTIFS($B$5:$B$104,B19,$D$5:$D$104,D19)&gt;1,"不通过：标本容器组合重复","通过")))</x:f>
      </x:c>
    </x:row>
    <x:row r="20">
      <x:c r="A20" s="22"/>
      <x:c r="B20" s="22"/>
      <x:c r="C20" s="22"/>
      <x:c r="D20" s="22"/>
      <x:c r="E20" s="22"/>
      <x:c r="F20" s="37"/>
      <x:c r="G20" s="22"/>
      <x:c r="H20" s="22"/>
      <x:c r="I20" s="37"/>
      <x:c r="J20" s="22"/>
      <x:c r="K20" s="22"/>
      <x:c r="L20" s="22"/>
      <x:c r="M20" s="22"/>
      <x:c r="N20" s="22"/>
      <x:c r="O20" s="28" t="str">
        <x:f>IF(COUNTA(A20:N20)=0,"",IF(OR(A20="",B20="",C20="",D20="",E20="",J20="",L20="",M20=""),"不通过：缺少必填项",IF(COUNTIFS($B$5:$B$104,B20,$D$5:$D$104,D20)&gt;1,"不通过：标本容器组合重复","通过")))</x:f>
      </x:c>
    </x:row>
    <x:row r="21">
      <x:c r="A21" s="22"/>
      <x:c r="B21" s="22"/>
      <x:c r="C21" s="22"/>
      <x:c r="D21" s="22"/>
      <x:c r="E21" s="22"/>
      <x:c r="F21" s="37"/>
      <x:c r="G21" s="22"/>
      <x:c r="H21" s="22"/>
      <x:c r="I21" s="37"/>
      <x:c r="J21" s="22"/>
      <x:c r="K21" s="22"/>
      <x:c r="L21" s="22"/>
      <x:c r="M21" s="22"/>
      <x:c r="N21" s="22"/>
      <x:c r="O21" s="28" t="str">
        <x:f>IF(COUNTA(A21:N21)=0,"",IF(OR(A21="",B21="",C21="",D21="",E21="",J21="",L21="",M21=""),"不通过：缺少必填项",IF(COUNTIFS($B$5:$B$104,B21,$D$5:$D$104,D21)&gt;1,"不通过：标本容器组合重复","通过")))</x:f>
      </x:c>
    </x:row>
    <x:row r="22">
      <x:c r="A22" s="22"/>
      <x:c r="B22" s="22"/>
      <x:c r="C22" s="22"/>
      <x:c r="D22" s="22"/>
      <x:c r="E22" s="22"/>
      <x:c r="F22" s="37"/>
      <x:c r="G22" s="22"/>
      <x:c r="H22" s="22"/>
      <x:c r="I22" s="37"/>
      <x:c r="J22" s="22"/>
      <x:c r="K22" s="22"/>
      <x:c r="L22" s="22"/>
      <x:c r="M22" s="22"/>
      <x:c r="N22" s="22"/>
      <x:c r="O22" s="28" t="str">
        <x:f>IF(COUNTA(A22:N22)=0,"",IF(OR(A22="",B22="",C22="",D22="",E22="",J22="",L22="",M22=""),"不通过：缺少必填项",IF(COUNTIFS($B$5:$B$104,B22,$D$5:$D$104,D22)&gt;1,"不通过：标本容器组合重复","通过")))</x:f>
      </x:c>
    </x:row>
    <x:row r="23">
      <x:c r="A23" s="22"/>
      <x:c r="B23" s="22"/>
      <x:c r="C23" s="22"/>
      <x:c r="D23" s="22"/>
      <x:c r="E23" s="22"/>
      <x:c r="F23" s="37"/>
      <x:c r="G23" s="22"/>
      <x:c r="H23" s="22"/>
      <x:c r="I23" s="37"/>
      <x:c r="J23" s="22"/>
      <x:c r="K23" s="22"/>
      <x:c r="L23" s="22"/>
      <x:c r="M23" s="22"/>
      <x:c r="N23" s="22"/>
      <x:c r="O23" s="28" t="str">
        <x:f>IF(COUNTA(A23:N23)=0,"",IF(OR(A23="",B23="",C23="",D23="",E23="",J23="",L23="",M23=""),"不通过：缺少必填项",IF(COUNTIFS($B$5:$B$104,B23,$D$5:$D$104,D23)&gt;1,"不通过：标本容器组合重复","通过")))</x:f>
      </x:c>
    </x:row>
    <x:row r="24">
      <x:c r="A24" s="22"/>
      <x:c r="B24" s="22"/>
      <x:c r="C24" s="22"/>
      <x:c r="D24" s="22"/>
      <x:c r="E24" s="22"/>
      <x:c r="F24" s="37"/>
      <x:c r="G24" s="22"/>
      <x:c r="H24" s="22"/>
      <x:c r="I24" s="37"/>
      <x:c r="J24" s="22"/>
      <x:c r="K24" s="22"/>
      <x:c r="L24" s="22"/>
      <x:c r="M24" s="22"/>
      <x:c r="N24" s="22"/>
      <x:c r="O24" s="28" t="str">
        <x:f>IF(COUNTA(A24:N24)=0,"",IF(OR(A24="",B24="",C24="",D24="",E24="",J24="",L24="",M24=""),"不通过：缺少必填项",IF(COUNTIFS($B$5:$B$104,B24,$D$5:$D$104,D24)&gt;1,"不通过：标本容器组合重复","通过")))</x:f>
      </x:c>
    </x:row>
    <x:row r="25">
      <x:c r="A25" s="22"/>
      <x:c r="B25" s="22"/>
      <x:c r="C25" s="22"/>
      <x:c r="D25" s="22"/>
      <x:c r="E25" s="22"/>
      <x:c r="F25" s="37"/>
      <x:c r="G25" s="22"/>
      <x:c r="H25" s="22"/>
      <x:c r="I25" s="37"/>
      <x:c r="J25" s="22"/>
      <x:c r="K25" s="22"/>
      <x:c r="L25" s="22"/>
      <x:c r="M25" s="22"/>
      <x:c r="N25" s="22"/>
      <x:c r="O25" s="28" t="str">
        <x:f>IF(COUNTA(A25:N25)=0,"",IF(OR(A25="",B25="",C25="",D25="",E25="",J25="",L25="",M25=""),"不通过：缺少必填项",IF(COUNTIFS($B$5:$B$104,B25,$D$5:$D$104,D25)&gt;1,"不通过：标本容器组合重复","通过")))</x:f>
      </x:c>
    </x:row>
    <x:row r="26">
      <x:c r="A26" s="22"/>
      <x:c r="B26" s="22"/>
      <x:c r="C26" s="22"/>
      <x:c r="D26" s="22"/>
      <x:c r="E26" s="22"/>
      <x:c r="F26" s="37"/>
      <x:c r="G26" s="22"/>
      <x:c r="H26" s="22"/>
      <x:c r="I26" s="37"/>
      <x:c r="J26" s="22"/>
      <x:c r="K26" s="22"/>
      <x:c r="L26" s="22"/>
      <x:c r="M26" s="22"/>
      <x:c r="N26" s="22"/>
      <x:c r="O26" s="28" t="str">
        <x:f>IF(COUNTA(A26:N26)=0,"",IF(OR(A26="",B26="",C26="",D26="",E26="",J26="",L26="",M26=""),"不通过：缺少必填项",IF(COUNTIFS($B$5:$B$104,B26,$D$5:$D$104,D26)&gt;1,"不通过：标本容器组合重复","通过")))</x:f>
      </x:c>
    </x:row>
    <x:row r="27">
      <x:c r="A27" s="22"/>
      <x:c r="B27" s="22"/>
      <x:c r="C27" s="22"/>
      <x:c r="D27" s="22"/>
      <x:c r="E27" s="22"/>
      <x:c r="F27" s="37"/>
      <x:c r="G27" s="22"/>
      <x:c r="H27" s="22"/>
      <x:c r="I27" s="37"/>
      <x:c r="J27" s="22"/>
      <x:c r="K27" s="22"/>
      <x:c r="L27" s="22"/>
      <x:c r="M27" s="22"/>
      <x:c r="N27" s="22"/>
      <x:c r="O27" s="28" t="str">
        <x:f>IF(COUNTA(A27:N27)=0,"",IF(OR(A27="",B27="",C27="",D27="",E27="",J27="",L27="",M27=""),"不通过：缺少必填项",IF(COUNTIFS($B$5:$B$104,B27,$D$5:$D$104,D27)&gt;1,"不通过：标本容器组合重复","通过")))</x:f>
      </x:c>
    </x:row>
    <x:row r="28">
      <x:c r="A28" s="22"/>
      <x:c r="B28" s="22"/>
      <x:c r="C28" s="22"/>
      <x:c r="D28" s="22"/>
      <x:c r="E28" s="22"/>
      <x:c r="F28" s="37"/>
      <x:c r="G28" s="22"/>
      <x:c r="H28" s="22"/>
      <x:c r="I28" s="37"/>
      <x:c r="J28" s="22"/>
      <x:c r="K28" s="22"/>
      <x:c r="L28" s="22"/>
      <x:c r="M28" s="22"/>
      <x:c r="N28" s="22"/>
      <x:c r="O28" s="28" t="str">
        <x:f>IF(COUNTA(A28:N28)=0,"",IF(OR(A28="",B28="",C28="",D28="",E28="",J28="",L28="",M28=""),"不通过：缺少必填项",IF(COUNTIFS($B$5:$B$104,B28,$D$5:$D$104,D28)&gt;1,"不通过：标本容器组合重复","通过")))</x:f>
      </x:c>
    </x:row>
    <x:row r="29">
      <x:c r="A29" s="22"/>
      <x:c r="B29" s="22"/>
      <x:c r="C29" s="22"/>
      <x:c r="D29" s="22"/>
      <x:c r="E29" s="22"/>
      <x:c r="F29" s="37"/>
      <x:c r="G29" s="22"/>
      <x:c r="H29" s="22"/>
      <x:c r="I29" s="37"/>
      <x:c r="J29" s="22"/>
      <x:c r="K29" s="22"/>
      <x:c r="L29" s="22"/>
      <x:c r="M29" s="22"/>
      <x:c r="N29" s="22"/>
      <x:c r="O29" s="28" t="str">
        <x:f>IF(COUNTA(A29:N29)=0,"",IF(OR(A29="",B29="",C29="",D29="",E29="",J29="",L29="",M29=""),"不通过：缺少必填项",IF(COUNTIFS($B$5:$B$104,B29,$D$5:$D$104,D29)&gt;1,"不通过：标本容器组合重复","通过")))</x:f>
      </x:c>
    </x:row>
    <x:row r="30">
      <x:c r="A30" s="22"/>
      <x:c r="B30" s="22"/>
      <x:c r="C30" s="22"/>
      <x:c r="D30" s="22"/>
      <x:c r="E30" s="22"/>
      <x:c r="F30" s="37"/>
      <x:c r="G30" s="22"/>
      <x:c r="H30" s="22"/>
      <x:c r="I30" s="37"/>
      <x:c r="J30" s="22"/>
      <x:c r="K30" s="22"/>
      <x:c r="L30" s="22"/>
      <x:c r="M30" s="22"/>
      <x:c r="N30" s="22"/>
      <x:c r="O30" s="28" t="str">
        <x:f>IF(COUNTA(A30:N30)=0,"",IF(OR(A30="",B30="",C30="",D30="",E30="",J30="",L30="",M30=""),"不通过：缺少必填项",IF(COUNTIFS($B$5:$B$104,B30,$D$5:$D$104,D30)&gt;1,"不通过：标本容器组合重复","通过")))</x:f>
      </x:c>
    </x:row>
    <x:row r="31">
      <x:c r="A31" s="22"/>
      <x:c r="B31" s="22"/>
      <x:c r="C31" s="22"/>
      <x:c r="D31" s="22"/>
      <x:c r="E31" s="22"/>
      <x:c r="F31" s="37"/>
      <x:c r="G31" s="22"/>
      <x:c r="H31" s="22"/>
      <x:c r="I31" s="37"/>
      <x:c r="J31" s="22"/>
      <x:c r="K31" s="22"/>
      <x:c r="L31" s="22"/>
      <x:c r="M31" s="22"/>
      <x:c r="N31" s="22"/>
      <x:c r="O31" s="28" t="str">
        <x:f>IF(COUNTA(A31:N31)=0,"",IF(OR(A31="",B31="",C31="",D31="",E31="",J31="",L31="",M31=""),"不通过：缺少必填项",IF(COUNTIFS($B$5:$B$104,B31,$D$5:$D$104,D31)&gt;1,"不通过：标本容器组合重复","通过")))</x:f>
      </x:c>
    </x:row>
    <x:row r="32">
      <x:c r="A32" s="22"/>
      <x:c r="B32" s="22"/>
      <x:c r="C32" s="22"/>
      <x:c r="D32" s="22"/>
      <x:c r="E32" s="22"/>
      <x:c r="F32" s="37"/>
      <x:c r="G32" s="22"/>
      <x:c r="H32" s="22"/>
      <x:c r="I32" s="37"/>
      <x:c r="J32" s="22"/>
      <x:c r="K32" s="22"/>
      <x:c r="L32" s="22"/>
      <x:c r="M32" s="22"/>
      <x:c r="N32" s="22"/>
      <x:c r="O32" s="28" t="str">
        <x:f>IF(COUNTA(A32:N32)=0,"",IF(OR(A32="",B32="",C32="",D32="",E32="",J32="",L32="",M32=""),"不通过：缺少必填项",IF(COUNTIFS($B$5:$B$104,B32,$D$5:$D$104,D32)&gt;1,"不通过：标本容器组合重复","通过")))</x:f>
      </x:c>
    </x:row>
    <x:row r="33">
      <x:c r="A33" s="22"/>
      <x:c r="B33" s="22"/>
      <x:c r="C33" s="22"/>
      <x:c r="D33" s="22"/>
      <x:c r="E33" s="22"/>
      <x:c r="F33" s="37"/>
      <x:c r="G33" s="22"/>
      <x:c r="H33" s="22"/>
      <x:c r="I33" s="37"/>
      <x:c r="J33" s="22"/>
      <x:c r="K33" s="22"/>
      <x:c r="L33" s="22"/>
      <x:c r="M33" s="22"/>
      <x:c r="N33" s="22"/>
      <x:c r="O33" s="28" t="str">
        <x:f>IF(COUNTA(A33:N33)=0,"",IF(OR(A33="",B33="",C33="",D33="",E33="",J33="",L33="",M33=""),"不通过：缺少必填项",IF(COUNTIFS($B$5:$B$104,B33,$D$5:$D$104,D33)&gt;1,"不通过：标本容器组合重复","通过")))</x:f>
      </x:c>
    </x:row>
    <x:row r="34">
      <x:c r="A34" s="22"/>
      <x:c r="B34" s="22"/>
      <x:c r="C34" s="22"/>
      <x:c r="D34" s="22"/>
      <x:c r="E34" s="22"/>
      <x:c r="F34" s="37"/>
      <x:c r="G34" s="22"/>
      <x:c r="H34" s="22"/>
      <x:c r="I34" s="37"/>
      <x:c r="J34" s="22"/>
      <x:c r="K34" s="22"/>
      <x:c r="L34" s="22"/>
      <x:c r="M34" s="22"/>
      <x:c r="N34" s="22"/>
      <x:c r="O34" s="28" t="str">
        <x:f>IF(COUNTA(A34:N34)=0,"",IF(OR(A34="",B34="",C34="",D34="",E34="",J34="",L34="",M34=""),"不通过：缺少必填项",IF(COUNTIFS($B$5:$B$104,B34,$D$5:$D$104,D34)&gt;1,"不通过：标本容器组合重复","通过")))</x:f>
      </x:c>
    </x:row>
    <x:row r="35">
      <x:c r="A35" s="22"/>
      <x:c r="B35" s="22"/>
      <x:c r="C35" s="22"/>
      <x:c r="D35" s="22"/>
      <x:c r="E35" s="22"/>
      <x:c r="F35" s="37"/>
      <x:c r="G35" s="22"/>
      <x:c r="H35" s="22"/>
      <x:c r="I35" s="37"/>
      <x:c r="J35" s="22"/>
      <x:c r="K35" s="22"/>
      <x:c r="L35" s="22"/>
      <x:c r="M35" s="22"/>
      <x:c r="N35" s="22"/>
      <x:c r="O35" s="28" t="str">
        <x:f>IF(COUNTA(A35:N35)=0,"",IF(OR(A35="",B35="",C35="",D35="",E35="",J35="",L35="",M35=""),"不通过：缺少必填项",IF(COUNTIFS($B$5:$B$104,B35,$D$5:$D$104,D35)&gt;1,"不通过：标本容器组合重复","通过")))</x:f>
      </x:c>
    </x:row>
    <x:row r="36">
      <x:c r="A36" s="22"/>
      <x:c r="B36" s="22"/>
      <x:c r="C36" s="22"/>
      <x:c r="D36" s="22"/>
      <x:c r="E36" s="22"/>
      <x:c r="F36" s="37"/>
      <x:c r="G36" s="22"/>
      <x:c r="H36" s="22"/>
      <x:c r="I36" s="37"/>
      <x:c r="J36" s="22"/>
      <x:c r="K36" s="22"/>
      <x:c r="L36" s="22"/>
      <x:c r="M36" s="22"/>
      <x:c r="N36" s="22"/>
      <x:c r="O36" s="28" t="str">
        <x:f>IF(COUNTA(A36:N36)=0,"",IF(OR(A36="",B36="",C36="",D36="",E36="",J36="",L36="",M36=""),"不通过：缺少必填项",IF(COUNTIFS($B$5:$B$104,B36,$D$5:$D$104,D36)&gt;1,"不通过：标本容器组合重复","通过")))</x:f>
      </x:c>
    </x:row>
    <x:row r="37">
      <x:c r="A37" s="22"/>
      <x:c r="B37" s="22"/>
      <x:c r="C37" s="22"/>
      <x:c r="D37" s="22"/>
      <x:c r="E37" s="22"/>
      <x:c r="F37" s="37"/>
      <x:c r="G37" s="22"/>
      <x:c r="H37" s="22"/>
      <x:c r="I37" s="37"/>
      <x:c r="J37" s="22"/>
      <x:c r="K37" s="22"/>
      <x:c r="L37" s="22"/>
      <x:c r="M37" s="22"/>
      <x:c r="N37" s="22"/>
      <x:c r="O37" s="28" t="str">
        <x:f>IF(COUNTA(A37:N37)=0,"",IF(OR(A37="",B37="",C37="",D37="",E37="",J37="",L37="",M37=""),"不通过：缺少必填项",IF(COUNTIFS($B$5:$B$104,B37,$D$5:$D$104,D37)&gt;1,"不通过：标本容器组合重复","通过")))</x:f>
      </x:c>
    </x:row>
    <x:row r="38">
      <x:c r="A38" s="22"/>
      <x:c r="B38" s="22"/>
      <x:c r="C38" s="22"/>
      <x:c r="D38" s="22"/>
      <x:c r="E38" s="22"/>
      <x:c r="F38" s="37"/>
      <x:c r="G38" s="22"/>
      <x:c r="H38" s="22"/>
      <x:c r="I38" s="37"/>
      <x:c r="J38" s="22"/>
      <x:c r="K38" s="22"/>
      <x:c r="L38" s="22"/>
      <x:c r="M38" s="22"/>
      <x:c r="N38" s="22"/>
      <x:c r="O38" s="28" t="str">
        <x:f>IF(COUNTA(A38:N38)=0,"",IF(OR(A38="",B38="",C38="",D38="",E38="",J38="",L38="",M38=""),"不通过：缺少必填项",IF(COUNTIFS($B$5:$B$104,B38,$D$5:$D$104,D38)&gt;1,"不通过：标本容器组合重复","通过")))</x:f>
      </x:c>
    </x:row>
    <x:row r="39">
      <x:c r="A39" s="22"/>
      <x:c r="B39" s="22"/>
      <x:c r="C39" s="22"/>
      <x:c r="D39" s="22"/>
      <x:c r="E39" s="22"/>
      <x:c r="F39" s="37"/>
      <x:c r="G39" s="22"/>
      <x:c r="H39" s="22"/>
      <x:c r="I39" s="37"/>
      <x:c r="J39" s="22"/>
      <x:c r="K39" s="22"/>
      <x:c r="L39" s="22"/>
      <x:c r="M39" s="22"/>
      <x:c r="N39" s="22"/>
      <x:c r="O39" s="28" t="str">
        <x:f>IF(COUNTA(A39:N39)=0,"",IF(OR(A39="",B39="",C39="",D39="",E39="",J39="",L39="",M39=""),"不通过：缺少必填项",IF(COUNTIFS($B$5:$B$104,B39,$D$5:$D$104,D39)&gt;1,"不通过：标本容器组合重复","通过")))</x:f>
      </x:c>
    </x:row>
    <x:row r="40">
      <x:c r="A40" s="22"/>
      <x:c r="B40" s="22"/>
      <x:c r="C40" s="22"/>
      <x:c r="D40" s="22"/>
      <x:c r="E40" s="22"/>
      <x:c r="F40" s="37"/>
      <x:c r="G40" s="22"/>
      <x:c r="H40" s="22"/>
      <x:c r="I40" s="37"/>
      <x:c r="J40" s="22"/>
      <x:c r="K40" s="22"/>
      <x:c r="L40" s="22"/>
      <x:c r="M40" s="22"/>
      <x:c r="N40" s="22"/>
      <x:c r="O40" s="28" t="str">
        <x:f>IF(COUNTA(A40:N40)=0,"",IF(OR(A40="",B40="",C40="",D40="",E40="",J40="",L40="",M40=""),"不通过：缺少必填项",IF(COUNTIFS($B$5:$B$104,B40,$D$5:$D$104,D40)&gt;1,"不通过：标本容器组合重复","通过")))</x:f>
      </x:c>
    </x:row>
    <x:row r="41">
      <x:c r="A41" s="22"/>
      <x:c r="B41" s="22"/>
      <x:c r="C41" s="22"/>
      <x:c r="D41" s="22"/>
      <x:c r="E41" s="22"/>
      <x:c r="F41" s="37"/>
      <x:c r="G41" s="22"/>
      <x:c r="H41" s="22"/>
      <x:c r="I41" s="37"/>
      <x:c r="J41" s="22"/>
      <x:c r="K41" s="22"/>
      <x:c r="L41" s="22"/>
      <x:c r="M41" s="22"/>
      <x:c r="N41" s="22"/>
      <x:c r="O41" s="28" t="str">
        <x:f>IF(COUNTA(A41:N41)=0,"",IF(OR(A41="",B41="",C41="",D41="",E41="",J41="",L41="",M41=""),"不通过：缺少必填项",IF(COUNTIFS($B$5:$B$104,B41,$D$5:$D$104,D41)&gt;1,"不通过：标本容器组合重复","通过")))</x:f>
      </x:c>
    </x:row>
    <x:row r="42">
      <x:c r="A42" s="22"/>
      <x:c r="B42" s="22"/>
      <x:c r="C42" s="22"/>
      <x:c r="D42" s="22"/>
      <x:c r="E42" s="22"/>
      <x:c r="F42" s="37"/>
      <x:c r="G42" s="22"/>
      <x:c r="H42" s="22"/>
      <x:c r="I42" s="37"/>
      <x:c r="J42" s="22"/>
      <x:c r="K42" s="22"/>
      <x:c r="L42" s="22"/>
      <x:c r="M42" s="22"/>
      <x:c r="N42" s="22"/>
      <x:c r="O42" s="28" t="str">
        <x:f>IF(COUNTA(A42:N42)=0,"",IF(OR(A42="",B42="",C42="",D42="",E42="",J42="",L42="",M42=""),"不通过：缺少必填项",IF(COUNTIFS($B$5:$B$104,B42,$D$5:$D$104,D42)&gt;1,"不通过：标本容器组合重复","通过")))</x:f>
      </x:c>
    </x:row>
    <x:row r="43">
      <x:c r="A43" s="22"/>
      <x:c r="B43" s="22"/>
      <x:c r="C43" s="22"/>
      <x:c r="D43" s="22"/>
      <x:c r="E43" s="22"/>
      <x:c r="F43" s="37"/>
      <x:c r="G43" s="22"/>
      <x:c r="H43" s="22"/>
      <x:c r="I43" s="37"/>
      <x:c r="J43" s="22"/>
      <x:c r="K43" s="22"/>
      <x:c r="L43" s="22"/>
      <x:c r="M43" s="22"/>
      <x:c r="N43" s="22"/>
      <x:c r="O43" s="28" t="str">
        <x:f>IF(COUNTA(A43:N43)=0,"",IF(OR(A43="",B43="",C43="",D43="",E43="",J43="",L43="",M43=""),"不通过：缺少必填项",IF(COUNTIFS($B$5:$B$104,B43,$D$5:$D$104,D43)&gt;1,"不通过：标本容器组合重复","通过")))</x:f>
      </x:c>
    </x:row>
    <x:row r="44">
      <x:c r="A44" s="22"/>
      <x:c r="B44" s="22"/>
      <x:c r="C44" s="22"/>
      <x:c r="D44" s="22"/>
      <x:c r="E44" s="22"/>
      <x:c r="F44" s="37"/>
      <x:c r="G44" s="22"/>
      <x:c r="H44" s="22"/>
      <x:c r="I44" s="37"/>
      <x:c r="J44" s="22"/>
      <x:c r="K44" s="22"/>
      <x:c r="L44" s="22"/>
      <x:c r="M44" s="22"/>
      <x:c r="N44" s="22"/>
      <x:c r="O44" s="28" t="str">
        <x:f>IF(COUNTA(A44:N44)=0,"",IF(OR(A44="",B44="",C44="",D44="",E44="",J44="",L44="",M44=""),"不通过：缺少必填项",IF(COUNTIFS($B$5:$B$104,B44,$D$5:$D$104,D44)&gt;1,"不通过：标本容器组合重复","通过")))</x:f>
      </x:c>
    </x:row>
    <x:row r="45">
      <x:c r="A45" s="22"/>
      <x:c r="B45" s="22"/>
      <x:c r="C45" s="22"/>
      <x:c r="D45" s="22"/>
      <x:c r="E45" s="22"/>
      <x:c r="F45" s="37"/>
      <x:c r="G45" s="22"/>
      <x:c r="H45" s="22"/>
      <x:c r="I45" s="37"/>
      <x:c r="J45" s="22"/>
      <x:c r="K45" s="22"/>
      <x:c r="L45" s="22"/>
      <x:c r="M45" s="22"/>
      <x:c r="N45" s="22"/>
      <x:c r="O45" s="28" t="str">
        <x:f>IF(COUNTA(A45:N45)=0,"",IF(OR(A45="",B45="",C45="",D45="",E45="",J45="",L45="",M45=""),"不通过：缺少必填项",IF(COUNTIFS($B$5:$B$104,B45,$D$5:$D$104,D45)&gt;1,"不通过：标本容器组合重复","通过")))</x:f>
      </x:c>
    </x:row>
    <x:row r="46">
      <x:c r="A46" s="22"/>
      <x:c r="B46" s="22"/>
      <x:c r="C46" s="22"/>
      <x:c r="D46" s="22"/>
      <x:c r="E46" s="22"/>
      <x:c r="F46" s="37"/>
      <x:c r="G46" s="22"/>
      <x:c r="H46" s="22"/>
      <x:c r="I46" s="37"/>
      <x:c r="J46" s="22"/>
      <x:c r="K46" s="22"/>
      <x:c r="L46" s="22"/>
      <x:c r="M46" s="22"/>
      <x:c r="N46" s="22"/>
      <x:c r="O46" s="28" t="str">
        <x:f>IF(COUNTA(A46:N46)=0,"",IF(OR(A46="",B46="",C46="",D46="",E46="",J46="",L46="",M46=""),"不通过：缺少必填项",IF(COUNTIFS($B$5:$B$104,B46,$D$5:$D$104,D46)&gt;1,"不通过：标本容器组合重复","通过")))</x:f>
      </x:c>
    </x:row>
    <x:row r="47">
      <x:c r="A47" s="22"/>
      <x:c r="B47" s="22"/>
      <x:c r="C47" s="22"/>
      <x:c r="D47" s="22"/>
      <x:c r="E47" s="22"/>
      <x:c r="F47" s="37"/>
      <x:c r="G47" s="22"/>
      <x:c r="H47" s="22"/>
      <x:c r="I47" s="37"/>
      <x:c r="J47" s="22"/>
      <x:c r="K47" s="22"/>
      <x:c r="L47" s="22"/>
      <x:c r="M47" s="22"/>
      <x:c r="N47" s="22"/>
      <x:c r="O47" s="28" t="str">
        <x:f>IF(COUNTA(A47:N47)=0,"",IF(OR(A47="",B47="",C47="",D47="",E47="",J47="",L47="",M47=""),"不通过：缺少必填项",IF(COUNTIFS($B$5:$B$104,B47,$D$5:$D$104,D47)&gt;1,"不通过：标本容器组合重复","通过")))</x:f>
      </x:c>
    </x:row>
    <x:row r="48">
      <x:c r="A48" s="22"/>
      <x:c r="B48" s="22"/>
      <x:c r="C48" s="22"/>
      <x:c r="D48" s="22"/>
      <x:c r="E48" s="22"/>
      <x:c r="F48" s="37"/>
      <x:c r="G48" s="22"/>
      <x:c r="H48" s="22"/>
      <x:c r="I48" s="37"/>
      <x:c r="J48" s="22"/>
      <x:c r="K48" s="22"/>
      <x:c r="L48" s="22"/>
      <x:c r="M48" s="22"/>
      <x:c r="N48" s="22"/>
      <x:c r="O48" s="28" t="str">
        <x:f>IF(COUNTA(A48:N48)=0,"",IF(OR(A48="",B48="",C48="",D48="",E48="",J48="",L48="",M48=""),"不通过：缺少必填项",IF(COUNTIFS($B$5:$B$104,B48,$D$5:$D$104,D48)&gt;1,"不通过：标本容器组合重复","通过")))</x:f>
      </x:c>
    </x:row>
    <x:row r="49">
      <x:c r="A49" s="22"/>
      <x:c r="B49" s="22"/>
      <x:c r="C49" s="22"/>
      <x:c r="D49" s="22"/>
      <x:c r="E49" s="22"/>
      <x:c r="F49" s="37"/>
      <x:c r="G49" s="22"/>
      <x:c r="H49" s="22"/>
      <x:c r="I49" s="37"/>
      <x:c r="J49" s="22"/>
      <x:c r="K49" s="22"/>
      <x:c r="L49" s="22"/>
      <x:c r="M49" s="22"/>
      <x:c r="N49" s="22"/>
      <x:c r="O49" s="28" t="str">
        <x:f>IF(COUNTA(A49:N49)=0,"",IF(OR(A49="",B49="",C49="",D49="",E49="",J49="",L49="",M49=""),"不通过：缺少必填项",IF(COUNTIFS($B$5:$B$104,B49,$D$5:$D$104,D49)&gt;1,"不通过：标本容器组合重复","通过")))</x:f>
      </x:c>
    </x:row>
    <x:row r="50">
      <x:c r="A50" s="22"/>
      <x:c r="B50" s="22"/>
      <x:c r="C50" s="22"/>
      <x:c r="D50" s="22"/>
      <x:c r="E50" s="22"/>
      <x:c r="F50" s="37"/>
      <x:c r="G50" s="22"/>
      <x:c r="H50" s="22"/>
      <x:c r="I50" s="37"/>
      <x:c r="J50" s="22"/>
      <x:c r="K50" s="22"/>
      <x:c r="L50" s="22"/>
      <x:c r="M50" s="22"/>
      <x:c r="N50" s="22"/>
      <x:c r="O50" s="28" t="str">
        <x:f>IF(COUNTA(A50:N50)=0,"",IF(OR(A50="",B50="",C50="",D50="",E50="",J50="",L50="",M50=""),"不通过：缺少必填项",IF(COUNTIFS($B$5:$B$104,B50,$D$5:$D$104,D50)&gt;1,"不通过：标本容器组合重复","通过")))</x:f>
      </x:c>
    </x:row>
    <x:row r="51">
      <x:c r="A51" s="22"/>
      <x:c r="B51" s="22"/>
      <x:c r="C51" s="22"/>
      <x:c r="D51" s="22"/>
      <x:c r="E51" s="22"/>
      <x:c r="F51" s="37"/>
      <x:c r="G51" s="22"/>
      <x:c r="H51" s="22"/>
      <x:c r="I51" s="37"/>
      <x:c r="J51" s="22"/>
      <x:c r="K51" s="22"/>
      <x:c r="L51" s="22"/>
      <x:c r="M51" s="22"/>
      <x:c r="N51" s="22"/>
      <x:c r="O51" s="28" t="str">
        <x:f>IF(COUNTA(A51:N51)=0,"",IF(OR(A51="",B51="",C51="",D51="",E51="",J51="",L51="",M51=""),"不通过：缺少必填项",IF(COUNTIFS($B$5:$B$104,B51,$D$5:$D$104,D51)&gt;1,"不通过：标本容器组合重复","通过")))</x:f>
      </x:c>
    </x:row>
    <x:row r="52">
      <x:c r="A52" s="22"/>
      <x:c r="B52" s="22"/>
      <x:c r="C52" s="22"/>
      <x:c r="D52" s="22"/>
      <x:c r="E52" s="22"/>
      <x:c r="F52" s="37"/>
      <x:c r="G52" s="22"/>
      <x:c r="H52" s="22"/>
      <x:c r="I52" s="37"/>
      <x:c r="J52" s="22"/>
      <x:c r="K52" s="22"/>
      <x:c r="L52" s="22"/>
      <x:c r="M52" s="22"/>
      <x:c r="N52" s="22"/>
      <x:c r="O52" s="28" t="str">
        <x:f>IF(COUNTA(A52:N52)=0,"",IF(OR(A52="",B52="",C52="",D52="",E52="",J52="",L52="",M52=""),"不通过：缺少必填项",IF(COUNTIFS($B$5:$B$104,B52,$D$5:$D$104,D52)&gt;1,"不通过：标本容器组合重复","通过")))</x:f>
      </x:c>
    </x:row>
    <x:row r="53">
      <x:c r="A53" s="22"/>
      <x:c r="B53" s="22"/>
      <x:c r="C53" s="22"/>
      <x:c r="D53" s="22"/>
      <x:c r="E53" s="22"/>
      <x:c r="F53" s="37"/>
      <x:c r="G53" s="22"/>
      <x:c r="H53" s="22"/>
      <x:c r="I53" s="37"/>
      <x:c r="J53" s="22"/>
      <x:c r="K53" s="22"/>
      <x:c r="L53" s="22"/>
      <x:c r="M53" s="22"/>
      <x:c r="N53" s="22"/>
      <x:c r="O53" s="28" t="str">
        <x:f>IF(COUNTA(A53:N53)=0,"",IF(OR(A53="",B53="",C53="",D53="",E53="",J53="",L53="",M53=""),"不通过：缺少必填项",IF(COUNTIFS($B$5:$B$104,B53,$D$5:$D$104,D53)&gt;1,"不通过：标本容器组合重复","通过")))</x:f>
      </x:c>
    </x:row>
    <x:row r="54">
      <x:c r="A54" s="22"/>
      <x:c r="B54" s="22"/>
      <x:c r="C54" s="22"/>
      <x:c r="D54" s="22"/>
      <x:c r="E54" s="22"/>
      <x:c r="F54" s="37"/>
      <x:c r="G54" s="22"/>
      <x:c r="H54" s="22"/>
      <x:c r="I54" s="37"/>
      <x:c r="J54" s="22"/>
      <x:c r="K54" s="22"/>
      <x:c r="L54" s="22"/>
      <x:c r="M54" s="22"/>
      <x:c r="N54" s="22"/>
      <x:c r="O54" s="28" t="str">
        <x:f>IF(COUNTA(A54:N54)=0,"",IF(OR(A54="",B54="",C54="",D54="",E54="",J54="",L54="",M54=""),"不通过：缺少必填项",IF(COUNTIFS($B$5:$B$104,B54,$D$5:$D$104,D54)&gt;1,"不通过：标本容器组合重复","通过")))</x:f>
      </x:c>
    </x:row>
    <x:row r="55">
      <x:c r="A55" s="22"/>
      <x:c r="B55" s="22"/>
      <x:c r="C55" s="22"/>
      <x:c r="D55" s="22"/>
      <x:c r="E55" s="22"/>
      <x:c r="F55" s="37"/>
      <x:c r="G55" s="22"/>
      <x:c r="H55" s="22"/>
      <x:c r="I55" s="37"/>
      <x:c r="J55" s="22"/>
      <x:c r="K55" s="22"/>
      <x:c r="L55" s="22"/>
      <x:c r="M55" s="22"/>
      <x:c r="N55" s="22"/>
      <x:c r="O55" s="28" t="str">
        <x:f>IF(COUNTA(A55:N55)=0,"",IF(OR(A55="",B55="",C55="",D55="",E55="",J55="",L55="",M55=""),"不通过：缺少必填项",IF(COUNTIFS($B$5:$B$104,B55,$D$5:$D$104,D55)&gt;1,"不通过：标本容器组合重复","通过")))</x:f>
      </x:c>
    </x:row>
    <x:row r="56">
      <x:c r="A56" s="22"/>
      <x:c r="B56" s="22"/>
      <x:c r="C56" s="22"/>
      <x:c r="D56" s="22"/>
      <x:c r="E56" s="22"/>
      <x:c r="F56" s="37"/>
      <x:c r="G56" s="22"/>
      <x:c r="H56" s="22"/>
      <x:c r="I56" s="37"/>
      <x:c r="J56" s="22"/>
      <x:c r="K56" s="22"/>
      <x:c r="L56" s="22"/>
      <x:c r="M56" s="22"/>
      <x:c r="N56" s="22"/>
      <x:c r="O56" s="28" t="str">
        <x:f>IF(COUNTA(A56:N56)=0,"",IF(OR(A56="",B56="",C56="",D56="",E56="",J56="",L56="",M56=""),"不通过：缺少必填项",IF(COUNTIFS($B$5:$B$104,B56,$D$5:$D$104,D56)&gt;1,"不通过：标本容器组合重复","通过")))</x:f>
      </x:c>
    </x:row>
    <x:row r="57">
      <x:c r="A57" s="22"/>
      <x:c r="B57" s="22"/>
      <x:c r="C57" s="22"/>
      <x:c r="D57" s="22"/>
      <x:c r="E57" s="22"/>
      <x:c r="F57" s="37"/>
      <x:c r="G57" s="22"/>
      <x:c r="H57" s="22"/>
      <x:c r="I57" s="37"/>
      <x:c r="J57" s="22"/>
      <x:c r="K57" s="22"/>
      <x:c r="L57" s="22"/>
      <x:c r="M57" s="22"/>
      <x:c r="N57" s="22"/>
      <x:c r="O57" s="28" t="str">
        <x:f>IF(COUNTA(A57:N57)=0,"",IF(OR(A57="",B57="",C57="",D57="",E57="",J57="",L57="",M57=""),"不通过：缺少必填项",IF(COUNTIFS($B$5:$B$104,B57,$D$5:$D$104,D57)&gt;1,"不通过：标本容器组合重复","通过")))</x:f>
      </x:c>
    </x:row>
    <x:row r="58">
      <x:c r="A58" s="22"/>
      <x:c r="B58" s="22"/>
      <x:c r="C58" s="22"/>
      <x:c r="D58" s="22"/>
      <x:c r="E58" s="22"/>
      <x:c r="F58" s="37"/>
      <x:c r="G58" s="22"/>
      <x:c r="H58" s="22"/>
      <x:c r="I58" s="37"/>
      <x:c r="J58" s="22"/>
      <x:c r="K58" s="22"/>
      <x:c r="L58" s="22"/>
      <x:c r="M58" s="22"/>
      <x:c r="N58" s="22"/>
      <x:c r="O58" s="28" t="str">
        <x:f>IF(COUNTA(A58:N58)=0,"",IF(OR(A58="",B58="",C58="",D58="",E58="",J58="",L58="",M58=""),"不通过：缺少必填项",IF(COUNTIFS($B$5:$B$104,B58,$D$5:$D$104,D58)&gt;1,"不通过：标本容器组合重复","通过")))</x:f>
      </x:c>
    </x:row>
    <x:row r="59">
      <x:c r="A59" s="22"/>
      <x:c r="B59" s="22"/>
      <x:c r="C59" s="22"/>
      <x:c r="D59" s="22"/>
      <x:c r="E59" s="22"/>
      <x:c r="F59" s="37"/>
      <x:c r="G59" s="22"/>
      <x:c r="H59" s="22"/>
      <x:c r="I59" s="37"/>
      <x:c r="J59" s="22"/>
      <x:c r="K59" s="22"/>
      <x:c r="L59" s="22"/>
      <x:c r="M59" s="22"/>
      <x:c r="N59" s="22"/>
      <x:c r="O59" s="28" t="str">
        <x:f>IF(COUNTA(A59:N59)=0,"",IF(OR(A59="",B59="",C59="",D59="",E59="",J59="",L59="",M59=""),"不通过：缺少必填项",IF(COUNTIFS($B$5:$B$104,B59,$D$5:$D$104,D59)&gt;1,"不通过：标本容器组合重复","通过")))</x:f>
      </x:c>
    </x:row>
    <x:row r="60">
      <x:c r="A60" s="22"/>
      <x:c r="B60" s="22"/>
      <x:c r="C60" s="22"/>
      <x:c r="D60" s="22"/>
      <x:c r="E60" s="22"/>
      <x:c r="F60" s="37"/>
      <x:c r="G60" s="22"/>
      <x:c r="H60" s="22"/>
      <x:c r="I60" s="37"/>
      <x:c r="J60" s="22"/>
      <x:c r="K60" s="22"/>
      <x:c r="L60" s="22"/>
      <x:c r="M60" s="22"/>
      <x:c r="N60" s="22"/>
      <x:c r="O60" s="28" t="str">
        <x:f>IF(COUNTA(A60:N60)=0,"",IF(OR(A60="",B60="",C60="",D60="",E60="",J60="",L60="",M60=""),"不通过：缺少必填项",IF(COUNTIFS($B$5:$B$104,B60,$D$5:$D$104,D60)&gt;1,"不通过：标本容器组合重复","通过")))</x:f>
      </x:c>
    </x:row>
    <x:row r="61">
      <x:c r="A61" s="22"/>
      <x:c r="B61" s="22"/>
      <x:c r="C61" s="22"/>
      <x:c r="D61" s="22"/>
      <x:c r="E61" s="22"/>
      <x:c r="F61" s="37"/>
      <x:c r="G61" s="22"/>
      <x:c r="H61" s="22"/>
      <x:c r="I61" s="37"/>
      <x:c r="J61" s="22"/>
      <x:c r="K61" s="22"/>
      <x:c r="L61" s="22"/>
      <x:c r="M61" s="22"/>
      <x:c r="N61" s="22"/>
      <x:c r="O61" s="28" t="str">
        <x:f>IF(COUNTA(A61:N61)=0,"",IF(OR(A61="",B61="",C61="",D61="",E61="",J61="",L61="",M61=""),"不通过：缺少必填项",IF(COUNTIFS($B$5:$B$104,B61,$D$5:$D$104,D61)&gt;1,"不通过：标本容器组合重复","通过")))</x:f>
      </x:c>
    </x:row>
    <x:row r="62">
      <x:c r="A62" s="22"/>
      <x:c r="B62" s="22"/>
      <x:c r="C62" s="22"/>
      <x:c r="D62" s="22"/>
      <x:c r="E62" s="22"/>
      <x:c r="F62" s="37"/>
      <x:c r="G62" s="22"/>
      <x:c r="H62" s="22"/>
      <x:c r="I62" s="37"/>
      <x:c r="J62" s="22"/>
      <x:c r="K62" s="22"/>
      <x:c r="L62" s="22"/>
      <x:c r="M62" s="22"/>
      <x:c r="N62" s="22"/>
      <x:c r="O62" s="28" t="str">
        <x:f>IF(COUNTA(A62:N62)=0,"",IF(OR(A62="",B62="",C62="",D62="",E62="",J62="",L62="",M62=""),"不通过：缺少必填项",IF(COUNTIFS($B$5:$B$104,B62,$D$5:$D$104,D62)&gt;1,"不通过：标本容器组合重复","通过")))</x:f>
      </x:c>
    </x:row>
    <x:row r="63">
      <x:c r="A63" s="22"/>
      <x:c r="B63" s="22"/>
      <x:c r="C63" s="22"/>
      <x:c r="D63" s="22"/>
      <x:c r="E63" s="22"/>
      <x:c r="F63" s="37"/>
      <x:c r="G63" s="22"/>
      <x:c r="H63" s="22"/>
      <x:c r="I63" s="37"/>
      <x:c r="J63" s="22"/>
      <x:c r="K63" s="22"/>
      <x:c r="L63" s="22"/>
      <x:c r="M63" s="22"/>
      <x:c r="N63" s="22"/>
      <x:c r="O63" s="28" t="str">
        <x:f>IF(COUNTA(A63:N63)=0,"",IF(OR(A63="",B63="",C63="",D63="",E63="",J63="",L63="",M63=""),"不通过：缺少必填项",IF(COUNTIFS($B$5:$B$104,B63,$D$5:$D$104,D63)&gt;1,"不通过：标本容器组合重复","通过")))</x:f>
      </x:c>
    </x:row>
    <x:row r="64">
      <x:c r="A64" s="22"/>
      <x:c r="B64" s="22"/>
      <x:c r="C64" s="22"/>
      <x:c r="D64" s="22"/>
      <x:c r="E64" s="22"/>
      <x:c r="F64" s="37"/>
      <x:c r="G64" s="22"/>
      <x:c r="H64" s="22"/>
      <x:c r="I64" s="37"/>
      <x:c r="J64" s="22"/>
      <x:c r="K64" s="22"/>
      <x:c r="L64" s="22"/>
      <x:c r="M64" s="22"/>
      <x:c r="N64" s="22"/>
      <x:c r="O64" s="28" t="str">
        <x:f>IF(COUNTA(A64:N64)=0,"",IF(OR(A64="",B64="",C64="",D64="",E64="",J64="",L64="",M64=""),"不通过：缺少必填项",IF(COUNTIFS($B$5:$B$104,B64,$D$5:$D$104,D64)&gt;1,"不通过：标本容器组合重复","通过")))</x:f>
      </x:c>
    </x:row>
    <x:row r="65">
      <x:c r="A65" s="22"/>
      <x:c r="B65" s="22"/>
      <x:c r="C65" s="22"/>
      <x:c r="D65" s="22"/>
      <x:c r="E65" s="22"/>
      <x:c r="F65" s="37"/>
      <x:c r="G65" s="22"/>
      <x:c r="H65" s="22"/>
      <x:c r="I65" s="37"/>
      <x:c r="J65" s="22"/>
      <x:c r="K65" s="22"/>
      <x:c r="L65" s="22"/>
      <x:c r="M65" s="22"/>
      <x:c r="N65" s="22"/>
      <x:c r="O65" s="28" t="str">
        <x:f>IF(COUNTA(A65:N65)=0,"",IF(OR(A65="",B65="",C65="",D65="",E65="",J65="",L65="",M65=""),"不通过：缺少必填项",IF(COUNTIFS($B$5:$B$104,B65,$D$5:$D$104,D65)&gt;1,"不通过：标本容器组合重复","通过")))</x:f>
      </x:c>
    </x:row>
    <x:row r="66">
      <x:c r="A66" s="22"/>
      <x:c r="B66" s="22"/>
      <x:c r="C66" s="22"/>
      <x:c r="D66" s="22"/>
      <x:c r="E66" s="22"/>
      <x:c r="F66" s="37"/>
      <x:c r="G66" s="22"/>
      <x:c r="H66" s="22"/>
      <x:c r="I66" s="37"/>
      <x:c r="J66" s="22"/>
      <x:c r="K66" s="22"/>
      <x:c r="L66" s="22"/>
      <x:c r="M66" s="22"/>
      <x:c r="N66" s="22"/>
      <x:c r="O66" s="28" t="str">
        <x:f>IF(COUNTA(A66:N66)=0,"",IF(OR(A66="",B66="",C66="",D66="",E66="",J66="",L66="",M66=""),"不通过：缺少必填项",IF(COUNTIFS($B$5:$B$104,B66,$D$5:$D$104,D66)&gt;1,"不通过：标本容器组合重复","通过")))</x:f>
      </x:c>
    </x:row>
    <x:row r="67">
      <x:c r="A67" s="22"/>
      <x:c r="B67" s="22"/>
      <x:c r="C67" s="22"/>
      <x:c r="D67" s="22"/>
      <x:c r="E67" s="22"/>
      <x:c r="F67" s="37"/>
      <x:c r="G67" s="22"/>
      <x:c r="H67" s="22"/>
      <x:c r="I67" s="37"/>
      <x:c r="J67" s="22"/>
      <x:c r="K67" s="22"/>
      <x:c r="L67" s="22"/>
      <x:c r="M67" s="22"/>
      <x:c r="N67" s="22"/>
      <x:c r="O67" s="28" t="str">
        <x:f>IF(COUNTA(A67:N67)=0,"",IF(OR(A67="",B67="",C67="",D67="",E67="",J67="",L67="",M67=""),"不通过：缺少必填项",IF(COUNTIFS($B$5:$B$104,B67,$D$5:$D$104,D67)&gt;1,"不通过：标本容器组合重复","通过")))</x:f>
      </x:c>
    </x:row>
    <x:row r="68">
      <x:c r="A68" s="22"/>
      <x:c r="B68" s="22"/>
      <x:c r="C68" s="22"/>
      <x:c r="D68" s="22"/>
      <x:c r="E68" s="22"/>
      <x:c r="F68" s="37"/>
      <x:c r="G68" s="22"/>
      <x:c r="H68" s="22"/>
      <x:c r="I68" s="37"/>
      <x:c r="J68" s="22"/>
      <x:c r="K68" s="22"/>
      <x:c r="L68" s="22"/>
      <x:c r="M68" s="22"/>
      <x:c r="N68" s="22"/>
      <x:c r="O68" s="28" t="str">
        <x:f>IF(COUNTA(A68:N68)=0,"",IF(OR(A68="",B68="",C68="",D68="",E68="",J68="",L68="",M68=""),"不通过：缺少必填项",IF(COUNTIFS($B$5:$B$104,B68,$D$5:$D$104,D68)&gt;1,"不通过：标本容器组合重复","通过")))</x:f>
      </x:c>
    </x:row>
    <x:row r="69">
      <x:c r="A69" s="22"/>
      <x:c r="B69" s="22"/>
      <x:c r="C69" s="22"/>
      <x:c r="D69" s="22"/>
      <x:c r="E69" s="22"/>
      <x:c r="F69" s="37"/>
      <x:c r="G69" s="22"/>
      <x:c r="H69" s="22"/>
      <x:c r="I69" s="37"/>
      <x:c r="J69" s="22"/>
      <x:c r="K69" s="22"/>
      <x:c r="L69" s="22"/>
      <x:c r="M69" s="22"/>
      <x:c r="N69" s="22"/>
      <x:c r="O69" s="28" t="str">
        <x:f>IF(COUNTA(A69:N69)=0,"",IF(OR(A69="",B69="",C69="",D69="",E69="",J69="",L69="",M69=""),"不通过：缺少必填项",IF(COUNTIFS($B$5:$B$104,B69,$D$5:$D$104,D69)&gt;1,"不通过：标本容器组合重复","通过")))</x:f>
      </x:c>
    </x:row>
    <x:row r="70">
      <x:c r="A70" s="22"/>
      <x:c r="B70" s="22"/>
      <x:c r="C70" s="22"/>
      <x:c r="D70" s="22"/>
      <x:c r="E70" s="22"/>
      <x:c r="F70" s="37"/>
      <x:c r="G70" s="22"/>
      <x:c r="H70" s="22"/>
      <x:c r="I70" s="37"/>
      <x:c r="J70" s="22"/>
      <x:c r="K70" s="22"/>
      <x:c r="L70" s="22"/>
      <x:c r="M70" s="22"/>
      <x:c r="N70" s="22"/>
      <x:c r="O70" s="28" t="str">
        <x:f>IF(COUNTA(A70:N70)=0,"",IF(OR(A70="",B70="",C70="",D70="",E70="",J70="",L70="",M70=""),"不通过：缺少必填项",IF(COUNTIFS($B$5:$B$104,B70,$D$5:$D$104,D70)&gt;1,"不通过：标本容器组合重复","通过")))</x:f>
      </x:c>
    </x:row>
    <x:row r="71">
      <x:c r="A71" s="22"/>
      <x:c r="B71" s="22"/>
      <x:c r="C71" s="22"/>
      <x:c r="D71" s="22"/>
      <x:c r="E71" s="22"/>
      <x:c r="F71" s="37"/>
      <x:c r="G71" s="22"/>
      <x:c r="H71" s="22"/>
      <x:c r="I71" s="37"/>
      <x:c r="J71" s="22"/>
      <x:c r="K71" s="22"/>
      <x:c r="L71" s="22"/>
      <x:c r="M71" s="22"/>
      <x:c r="N71" s="22"/>
      <x:c r="O71" s="28" t="str">
        <x:f>IF(COUNTA(A71:N71)=0,"",IF(OR(A71="",B71="",C71="",D71="",E71="",J71="",L71="",M71=""),"不通过：缺少必填项",IF(COUNTIFS($B$5:$B$104,B71,$D$5:$D$104,D71)&gt;1,"不通过：标本容器组合重复","通过")))</x:f>
      </x:c>
    </x:row>
    <x:row r="72">
      <x:c r="A72" s="22"/>
      <x:c r="B72" s="22"/>
      <x:c r="C72" s="22"/>
      <x:c r="D72" s="22"/>
      <x:c r="E72" s="22"/>
      <x:c r="F72" s="37"/>
      <x:c r="G72" s="22"/>
      <x:c r="H72" s="22"/>
      <x:c r="I72" s="37"/>
      <x:c r="J72" s="22"/>
      <x:c r="K72" s="22"/>
      <x:c r="L72" s="22"/>
      <x:c r="M72" s="22"/>
      <x:c r="N72" s="22"/>
      <x:c r="O72" s="28" t="str">
        <x:f>IF(COUNTA(A72:N72)=0,"",IF(OR(A72="",B72="",C72="",D72="",E72="",J72="",L72="",M72=""),"不通过：缺少必填项",IF(COUNTIFS($B$5:$B$104,B72,$D$5:$D$104,D72)&gt;1,"不通过：标本容器组合重复","通过")))</x:f>
      </x:c>
    </x:row>
    <x:row r="73">
      <x:c r="A73" s="22"/>
      <x:c r="B73" s="22"/>
      <x:c r="C73" s="22"/>
      <x:c r="D73" s="22"/>
      <x:c r="E73" s="22"/>
      <x:c r="F73" s="37"/>
      <x:c r="G73" s="22"/>
      <x:c r="H73" s="22"/>
      <x:c r="I73" s="37"/>
      <x:c r="J73" s="22"/>
      <x:c r="K73" s="22"/>
      <x:c r="L73" s="22"/>
      <x:c r="M73" s="22"/>
      <x:c r="N73" s="22"/>
      <x:c r="O73" s="28" t="str">
        <x:f>IF(COUNTA(A73:N73)=0,"",IF(OR(A73="",B73="",C73="",D73="",E73="",J73="",L73="",M73=""),"不通过：缺少必填项",IF(COUNTIFS($B$5:$B$104,B73,$D$5:$D$104,D73)&gt;1,"不通过：标本容器组合重复","通过")))</x:f>
      </x:c>
    </x:row>
    <x:row r="74">
      <x:c r="A74" s="22"/>
      <x:c r="B74" s="22"/>
      <x:c r="C74" s="22"/>
      <x:c r="D74" s="22"/>
      <x:c r="E74" s="22"/>
      <x:c r="F74" s="37"/>
      <x:c r="G74" s="22"/>
      <x:c r="H74" s="22"/>
      <x:c r="I74" s="37"/>
      <x:c r="J74" s="22"/>
      <x:c r="K74" s="22"/>
      <x:c r="L74" s="22"/>
      <x:c r="M74" s="22"/>
      <x:c r="N74" s="22"/>
      <x:c r="O74" s="28" t="str">
        <x:f>IF(COUNTA(A74:N74)=0,"",IF(OR(A74="",B74="",C74="",D74="",E74="",J74="",L74="",M74=""),"不通过：缺少必填项",IF(COUNTIFS($B$5:$B$104,B74,$D$5:$D$104,D74)&gt;1,"不通过：标本容器组合重复","通过")))</x:f>
      </x:c>
    </x:row>
    <x:row r="75">
      <x:c r="A75" s="22"/>
      <x:c r="B75" s="22"/>
      <x:c r="C75" s="22"/>
      <x:c r="D75" s="22"/>
      <x:c r="E75" s="22"/>
      <x:c r="F75" s="37"/>
      <x:c r="G75" s="22"/>
      <x:c r="H75" s="22"/>
      <x:c r="I75" s="37"/>
      <x:c r="J75" s="22"/>
      <x:c r="K75" s="22"/>
      <x:c r="L75" s="22"/>
      <x:c r="M75" s="22"/>
      <x:c r="N75" s="22"/>
      <x:c r="O75" s="28" t="str">
        <x:f>IF(COUNTA(A75:N75)=0,"",IF(OR(A75="",B75="",C75="",D75="",E75="",J75="",L75="",M75=""),"不通过：缺少必填项",IF(COUNTIFS($B$5:$B$104,B75,$D$5:$D$104,D75)&gt;1,"不通过：标本容器组合重复","通过")))</x:f>
      </x:c>
    </x:row>
    <x:row r="76">
      <x:c r="A76" s="22"/>
      <x:c r="B76" s="22"/>
      <x:c r="C76" s="22"/>
      <x:c r="D76" s="22"/>
      <x:c r="E76" s="22"/>
      <x:c r="F76" s="37"/>
      <x:c r="G76" s="22"/>
      <x:c r="H76" s="22"/>
      <x:c r="I76" s="37"/>
      <x:c r="J76" s="22"/>
      <x:c r="K76" s="22"/>
      <x:c r="L76" s="22"/>
      <x:c r="M76" s="22"/>
      <x:c r="N76" s="22"/>
      <x:c r="O76" s="28" t="str">
        <x:f>IF(COUNTA(A76:N76)=0,"",IF(OR(A76="",B76="",C76="",D76="",E76="",J76="",L76="",M76=""),"不通过：缺少必填项",IF(COUNTIFS($B$5:$B$104,B76,$D$5:$D$104,D76)&gt;1,"不通过：标本容器组合重复","通过")))</x:f>
      </x:c>
    </x:row>
    <x:row r="77">
      <x:c r="A77" s="22"/>
      <x:c r="B77" s="22"/>
      <x:c r="C77" s="22"/>
      <x:c r="D77" s="22"/>
      <x:c r="E77" s="22"/>
      <x:c r="F77" s="37"/>
      <x:c r="G77" s="22"/>
      <x:c r="H77" s="22"/>
      <x:c r="I77" s="37"/>
      <x:c r="J77" s="22"/>
      <x:c r="K77" s="22"/>
      <x:c r="L77" s="22"/>
      <x:c r="M77" s="22"/>
      <x:c r="N77" s="22"/>
      <x:c r="O77" s="28" t="str">
        <x:f>IF(COUNTA(A77:N77)=0,"",IF(OR(A77="",B77="",C77="",D77="",E77="",J77="",L77="",M77=""),"不通过：缺少必填项",IF(COUNTIFS($B$5:$B$104,B77,$D$5:$D$104,D77)&gt;1,"不通过：标本容器组合重复","通过")))</x:f>
      </x:c>
    </x:row>
    <x:row r="78">
      <x:c r="A78" s="22"/>
      <x:c r="B78" s="22"/>
      <x:c r="C78" s="22"/>
      <x:c r="D78" s="22"/>
      <x:c r="E78" s="22"/>
      <x:c r="F78" s="37"/>
      <x:c r="G78" s="22"/>
      <x:c r="H78" s="22"/>
      <x:c r="I78" s="37"/>
      <x:c r="J78" s="22"/>
      <x:c r="K78" s="22"/>
      <x:c r="L78" s="22"/>
      <x:c r="M78" s="22"/>
      <x:c r="N78" s="22"/>
      <x:c r="O78" s="28" t="str">
        <x:f>IF(COUNTA(A78:N78)=0,"",IF(OR(A78="",B78="",C78="",D78="",E78="",J78="",L78="",M78=""),"不通过：缺少必填项",IF(COUNTIFS($B$5:$B$104,B78,$D$5:$D$104,D78)&gt;1,"不通过：标本容器组合重复","通过")))</x:f>
      </x:c>
    </x:row>
    <x:row r="79">
      <x:c r="A79" s="22"/>
      <x:c r="B79" s="22"/>
      <x:c r="C79" s="22"/>
      <x:c r="D79" s="22"/>
      <x:c r="E79" s="22"/>
      <x:c r="F79" s="37"/>
      <x:c r="G79" s="22"/>
      <x:c r="H79" s="22"/>
      <x:c r="I79" s="37"/>
      <x:c r="J79" s="22"/>
      <x:c r="K79" s="22"/>
      <x:c r="L79" s="22"/>
      <x:c r="M79" s="22"/>
      <x:c r="N79" s="22"/>
      <x:c r="O79" s="28" t="str">
        <x:f>IF(COUNTA(A79:N79)=0,"",IF(OR(A79="",B79="",C79="",D79="",E79="",J79="",L79="",M79=""),"不通过：缺少必填项",IF(COUNTIFS($B$5:$B$104,B79,$D$5:$D$104,D79)&gt;1,"不通过：标本容器组合重复","通过")))</x:f>
      </x:c>
    </x:row>
    <x:row r="80">
      <x:c r="A80" s="22"/>
      <x:c r="B80" s="22"/>
      <x:c r="C80" s="22"/>
      <x:c r="D80" s="22"/>
      <x:c r="E80" s="22"/>
      <x:c r="F80" s="37"/>
      <x:c r="G80" s="22"/>
      <x:c r="H80" s="22"/>
      <x:c r="I80" s="37"/>
      <x:c r="J80" s="22"/>
      <x:c r="K80" s="22"/>
      <x:c r="L80" s="22"/>
      <x:c r="M80" s="22"/>
      <x:c r="N80" s="22"/>
      <x:c r="O80" s="28" t="str">
        <x:f>IF(COUNTA(A80:N80)=0,"",IF(OR(A80="",B80="",C80="",D80="",E80="",J80="",L80="",M80=""),"不通过：缺少必填项",IF(COUNTIFS($B$5:$B$104,B80,$D$5:$D$104,D80)&gt;1,"不通过：标本容器组合重复","通过")))</x:f>
      </x:c>
    </x:row>
    <x:row r="81">
      <x:c r="A81" s="22"/>
      <x:c r="B81" s="22"/>
      <x:c r="C81" s="22"/>
      <x:c r="D81" s="22"/>
      <x:c r="E81" s="22"/>
      <x:c r="F81" s="37"/>
      <x:c r="G81" s="22"/>
      <x:c r="H81" s="22"/>
      <x:c r="I81" s="37"/>
      <x:c r="J81" s="22"/>
      <x:c r="K81" s="22"/>
      <x:c r="L81" s="22"/>
      <x:c r="M81" s="22"/>
      <x:c r="N81" s="22"/>
      <x:c r="O81" s="28" t="str">
        <x:f>IF(COUNTA(A81:N81)=0,"",IF(OR(A81="",B81="",C81="",D81="",E81="",J81="",L81="",M81=""),"不通过：缺少必填项",IF(COUNTIFS($B$5:$B$104,B81,$D$5:$D$104,D81)&gt;1,"不通过：标本容器组合重复","通过")))</x:f>
      </x:c>
    </x:row>
    <x:row r="82">
      <x:c r="A82" s="22"/>
      <x:c r="B82" s="22"/>
      <x:c r="C82" s="22"/>
      <x:c r="D82" s="22"/>
      <x:c r="E82" s="22"/>
      <x:c r="F82" s="37"/>
      <x:c r="G82" s="22"/>
      <x:c r="H82" s="22"/>
      <x:c r="I82" s="37"/>
      <x:c r="J82" s="22"/>
      <x:c r="K82" s="22"/>
      <x:c r="L82" s="22"/>
      <x:c r="M82" s="22"/>
      <x:c r="N82" s="22"/>
      <x:c r="O82" s="28" t="str">
        <x:f>IF(COUNTA(A82:N82)=0,"",IF(OR(A82="",B82="",C82="",D82="",E82="",J82="",L82="",M82=""),"不通过：缺少必填项",IF(COUNTIFS($B$5:$B$104,B82,$D$5:$D$104,D82)&gt;1,"不通过：标本容器组合重复","通过")))</x:f>
      </x:c>
    </x:row>
    <x:row r="83">
      <x:c r="A83" s="22"/>
      <x:c r="B83" s="22"/>
      <x:c r="C83" s="22"/>
      <x:c r="D83" s="22"/>
      <x:c r="E83" s="22"/>
      <x:c r="F83" s="37"/>
      <x:c r="G83" s="22"/>
      <x:c r="H83" s="22"/>
      <x:c r="I83" s="37"/>
      <x:c r="J83" s="22"/>
      <x:c r="K83" s="22"/>
      <x:c r="L83" s="22"/>
      <x:c r="M83" s="22"/>
      <x:c r="N83" s="22"/>
      <x:c r="O83" s="28" t="str">
        <x:f>IF(COUNTA(A83:N83)=0,"",IF(OR(A83="",B83="",C83="",D83="",E83="",J83="",L83="",M83=""),"不通过：缺少必填项",IF(COUNTIFS($B$5:$B$104,B83,$D$5:$D$104,D83)&gt;1,"不通过：标本容器组合重复","通过")))</x:f>
      </x:c>
    </x:row>
    <x:row r="84">
      <x:c r="A84" s="22"/>
      <x:c r="B84" s="22"/>
      <x:c r="C84" s="22"/>
      <x:c r="D84" s="22"/>
      <x:c r="E84" s="22"/>
      <x:c r="F84" s="37"/>
      <x:c r="G84" s="22"/>
      <x:c r="H84" s="22"/>
      <x:c r="I84" s="37"/>
      <x:c r="J84" s="22"/>
      <x:c r="K84" s="22"/>
      <x:c r="L84" s="22"/>
      <x:c r="M84" s="22"/>
      <x:c r="N84" s="22"/>
      <x:c r="O84" s="28" t="str">
        <x:f>IF(COUNTA(A84:N84)=0,"",IF(OR(A84="",B84="",C84="",D84="",E84="",J84="",L84="",M84=""),"不通过：缺少必填项",IF(COUNTIFS($B$5:$B$104,B84,$D$5:$D$104,D84)&gt;1,"不通过：标本容器组合重复","通过")))</x:f>
      </x:c>
    </x:row>
    <x:row r="85">
      <x:c r="A85" s="22"/>
      <x:c r="B85" s="22"/>
      <x:c r="C85" s="22"/>
      <x:c r="D85" s="22"/>
      <x:c r="E85" s="22"/>
      <x:c r="F85" s="37"/>
      <x:c r="G85" s="22"/>
      <x:c r="H85" s="22"/>
      <x:c r="I85" s="37"/>
      <x:c r="J85" s="22"/>
      <x:c r="K85" s="22"/>
      <x:c r="L85" s="22"/>
      <x:c r="M85" s="22"/>
      <x:c r="N85" s="22"/>
      <x:c r="O85" s="28" t="str">
        <x:f>IF(COUNTA(A85:N85)=0,"",IF(OR(A85="",B85="",C85="",D85="",E85="",J85="",L85="",M85=""),"不通过：缺少必填项",IF(COUNTIFS($B$5:$B$104,B85,$D$5:$D$104,D85)&gt;1,"不通过：标本容器组合重复","通过")))</x:f>
      </x:c>
    </x:row>
    <x:row r="86">
      <x:c r="A86" s="22"/>
      <x:c r="B86" s="22"/>
      <x:c r="C86" s="22"/>
      <x:c r="D86" s="22"/>
      <x:c r="E86" s="22"/>
      <x:c r="F86" s="37"/>
      <x:c r="G86" s="22"/>
      <x:c r="H86" s="22"/>
      <x:c r="I86" s="37"/>
      <x:c r="J86" s="22"/>
      <x:c r="K86" s="22"/>
      <x:c r="L86" s="22"/>
      <x:c r="M86" s="22"/>
      <x:c r="N86" s="22"/>
      <x:c r="O86" s="28" t="str">
        <x:f>IF(COUNTA(A86:N86)=0,"",IF(OR(A86="",B86="",C86="",D86="",E86="",J86="",L86="",M86=""),"不通过：缺少必填项",IF(COUNTIFS($B$5:$B$104,B86,$D$5:$D$104,D86)&gt;1,"不通过：标本容器组合重复","通过")))</x:f>
      </x:c>
    </x:row>
    <x:row r="87">
      <x:c r="A87" s="22"/>
      <x:c r="B87" s="22"/>
      <x:c r="C87" s="22"/>
      <x:c r="D87" s="22"/>
      <x:c r="E87" s="22"/>
      <x:c r="F87" s="37"/>
      <x:c r="G87" s="22"/>
      <x:c r="H87" s="22"/>
      <x:c r="I87" s="37"/>
      <x:c r="J87" s="22"/>
      <x:c r="K87" s="22"/>
      <x:c r="L87" s="22"/>
      <x:c r="M87" s="22"/>
      <x:c r="N87" s="22"/>
      <x:c r="O87" s="28" t="str">
        <x:f>IF(COUNTA(A87:N87)=0,"",IF(OR(A87="",B87="",C87="",D87="",E87="",J87="",L87="",M87=""),"不通过：缺少必填项",IF(COUNTIFS($B$5:$B$104,B87,$D$5:$D$104,D87)&gt;1,"不通过：标本容器组合重复","通过")))</x:f>
      </x:c>
    </x:row>
    <x:row r="88">
      <x:c r="A88" s="22"/>
      <x:c r="B88" s="22"/>
      <x:c r="C88" s="22"/>
      <x:c r="D88" s="22"/>
      <x:c r="E88" s="22"/>
      <x:c r="F88" s="37"/>
      <x:c r="G88" s="22"/>
      <x:c r="H88" s="22"/>
      <x:c r="I88" s="37"/>
      <x:c r="J88" s="22"/>
      <x:c r="K88" s="22"/>
      <x:c r="L88" s="22"/>
      <x:c r="M88" s="22"/>
      <x:c r="N88" s="22"/>
      <x:c r="O88" s="28" t="str">
        <x:f>IF(COUNTA(A88:N88)=0,"",IF(OR(A88="",B88="",C88="",D88="",E88="",J88="",L88="",M88=""),"不通过：缺少必填项",IF(COUNTIFS($B$5:$B$104,B88,$D$5:$D$104,D88)&gt;1,"不通过：标本容器组合重复","通过")))</x:f>
      </x:c>
    </x:row>
    <x:row r="89">
      <x:c r="A89" s="22"/>
      <x:c r="B89" s="22"/>
      <x:c r="C89" s="22"/>
      <x:c r="D89" s="22"/>
      <x:c r="E89" s="22"/>
      <x:c r="F89" s="37"/>
      <x:c r="G89" s="22"/>
      <x:c r="H89" s="22"/>
      <x:c r="I89" s="37"/>
      <x:c r="J89" s="22"/>
      <x:c r="K89" s="22"/>
      <x:c r="L89" s="22"/>
      <x:c r="M89" s="22"/>
      <x:c r="N89" s="22"/>
      <x:c r="O89" s="28" t="str">
        <x:f>IF(COUNTA(A89:N89)=0,"",IF(OR(A89="",B89="",C89="",D89="",E89="",J89="",L89="",M89=""),"不通过：缺少必填项",IF(COUNTIFS($B$5:$B$104,B89,$D$5:$D$104,D89)&gt;1,"不通过：标本容器组合重复","通过")))</x:f>
      </x:c>
    </x:row>
    <x:row r="90">
      <x:c r="A90" s="22"/>
      <x:c r="B90" s="22"/>
      <x:c r="C90" s="22"/>
      <x:c r="D90" s="22"/>
      <x:c r="E90" s="22"/>
      <x:c r="F90" s="37"/>
      <x:c r="G90" s="22"/>
      <x:c r="H90" s="22"/>
      <x:c r="I90" s="37"/>
      <x:c r="J90" s="22"/>
      <x:c r="K90" s="22"/>
      <x:c r="L90" s="22"/>
      <x:c r="M90" s="22"/>
      <x:c r="N90" s="22"/>
      <x:c r="O90" s="28" t="str">
        <x:f>IF(COUNTA(A90:N90)=0,"",IF(OR(A90="",B90="",C90="",D90="",E90="",J90="",L90="",M90=""),"不通过：缺少必填项",IF(COUNTIFS($B$5:$B$104,B90,$D$5:$D$104,D90)&gt;1,"不通过：标本容器组合重复","通过")))</x:f>
      </x:c>
    </x:row>
    <x:row r="91">
      <x:c r="A91" s="22"/>
      <x:c r="B91" s="22"/>
      <x:c r="C91" s="22"/>
      <x:c r="D91" s="22"/>
      <x:c r="E91" s="22"/>
      <x:c r="F91" s="37"/>
      <x:c r="G91" s="22"/>
      <x:c r="H91" s="22"/>
      <x:c r="I91" s="37"/>
      <x:c r="J91" s="22"/>
      <x:c r="K91" s="22"/>
      <x:c r="L91" s="22"/>
      <x:c r="M91" s="22"/>
      <x:c r="N91" s="22"/>
      <x:c r="O91" s="28" t="str">
        <x:f>IF(COUNTA(A91:N91)=0,"",IF(OR(A91="",B91="",C91="",D91="",E91="",J91="",L91="",M91=""),"不通过：缺少必填项",IF(COUNTIFS($B$5:$B$104,B91,$D$5:$D$104,D91)&gt;1,"不通过：标本容器组合重复","通过")))</x:f>
      </x:c>
    </x:row>
    <x:row r="92">
      <x:c r="A92" s="22"/>
      <x:c r="B92" s="22"/>
      <x:c r="C92" s="22"/>
      <x:c r="D92" s="22"/>
      <x:c r="E92" s="22"/>
      <x:c r="F92" s="37"/>
      <x:c r="G92" s="22"/>
      <x:c r="H92" s="22"/>
      <x:c r="I92" s="37"/>
      <x:c r="J92" s="22"/>
      <x:c r="K92" s="22"/>
      <x:c r="L92" s="22"/>
      <x:c r="M92" s="22"/>
      <x:c r="N92" s="22"/>
      <x:c r="O92" s="28" t="str">
        <x:f>IF(COUNTA(A92:N92)=0,"",IF(OR(A92="",B92="",C92="",D92="",E92="",J92="",L92="",M92=""),"不通过：缺少必填项",IF(COUNTIFS($B$5:$B$104,B92,$D$5:$D$104,D92)&gt;1,"不通过：标本容器组合重复","通过")))</x:f>
      </x:c>
    </x:row>
    <x:row r="93">
      <x:c r="A93" s="22"/>
      <x:c r="B93" s="22"/>
      <x:c r="C93" s="22"/>
      <x:c r="D93" s="22"/>
      <x:c r="E93" s="22"/>
      <x:c r="F93" s="37"/>
      <x:c r="G93" s="22"/>
      <x:c r="H93" s="22"/>
      <x:c r="I93" s="37"/>
      <x:c r="J93" s="22"/>
      <x:c r="K93" s="22"/>
      <x:c r="L93" s="22"/>
      <x:c r="M93" s="22"/>
      <x:c r="N93" s="22"/>
      <x:c r="O93" s="28" t="str">
        <x:f>IF(COUNTA(A93:N93)=0,"",IF(OR(A93="",B93="",C93="",D93="",E93="",J93="",L93="",M93=""),"不通过：缺少必填项",IF(COUNTIFS($B$5:$B$104,B93,$D$5:$D$104,D93)&gt;1,"不通过：标本容器组合重复","通过")))</x:f>
      </x:c>
    </x:row>
    <x:row r="94">
      <x:c r="A94" s="22"/>
      <x:c r="B94" s="22"/>
      <x:c r="C94" s="22"/>
      <x:c r="D94" s="22"/>
      <x:c r="E94" s="22"/>
      <x:c r="F94" s="37"/>
      <x:c r="G94" s="22"/>
      <x:c r="H94" s="22"/>
      <x:c r="I94" s="37"/>
      <x:c r="J94" s="22"/>
      <x:c r="K94" s="22"/>
      <x:c r="L94" s="22"/>
      <x:c r="M94" s="22"/>
      <x:c r="N94" s="22"/>
      <x:c r="O94" s="28" t="str">
        <x:f>IF(COUNTA(A94:N94)=0,"",IF(OR(A94="",B94="",C94="",D94="",E94="",J94="",L94="",M94=""),"不通过：缺少必填项",IF(COUNTIFS($B$5:$B$104,B94,$D$5:$D$104,D94)&gt;1,"不通过：标本容器组合重复","通过")))</x:f>
      </x:c>
    </x:row>
    <x:row r="95">
      <x:c r="A95" s="22"/>
      <x:c r="B95" s="22"/>
      <x:c r="C95" s="22"/>
      <x:c r="D95" s="22"/>
      <x:c r="E95" s="22"/>
      <x:c r="F95" s="37"/>
      <x:c r="G95" s="22"/>
      <x:c r="H95" s="22"/>
      <x:c r="I95" s="37"/>
      <x:c r="J95" s="22"/>
      <x:c r="K95" s="22"/>
      <x:c r="L95" s="22"/>
      <x:c r="M95" s="22"/>
      <x:c r="N95" s="22"/>
      <x:c r="O95" s="28" t="str">
        <x:f>IF(COUNTA(A95:N95)=0,"",IF(OR(A95="",B95="",C95="",D95="",E95="",J95="",L95="",M95=""),"不通过：缺少必填项",IF(COUNTIFS($B$5:$B$104,B95,$D$5:$D$104,D95)&gt;1,"不通过：标本容器组合重复","通过")))</x:f>
      </x:c>
    </x:row>
    <x:row r="96">
      <x:c r="A96" s="22"/>
      <x:c r="B96" s="22"/>
      <x:c r="C96" s="22"/>
      <x:c r="D96" s="22"/>
      <x:c r="E96" s="22"/>
      <x:c r="F96" s="37"/>
      <x:c r="G96" s="22"/>
      <x:c r="H96" s="22"/>
      <x:c r="I96" s="37"/>
      <x:c r="J96" s="22"/>
      <x:c r="K96" s="22"/>
      <x:c r="L96" s="22"/>
      <x:c r="M96" s="22"/>
      <x:c r="N96" s="22"/>
      <x:c r="O96" s="28" t="str">
        <x:f>IF(COUNTA(A96:N96)=0,"",IF(OR(A96="",B96="",C96="",D96="",E96="",J96="",L96="",M96=""),"不通过：缺少必填项",IF(COUNTIFS($B$5:$B$104,B96,$D$5:$D$104,D96)&gt;1,"不通过：标本容器组合重复","通过")))</x:f>
      </x:c>
    </x:row>
    <x:row r="97">
      <x:c r="A97" s="22"/>
      <x:c r="B97" s="22"/>
      <x:c r="C97" s="22"/>
      <x:c r="D97" s="22"/>
      <x:c r="E97" s="22"/>
      <x:c r="F97" s="37"/>
      <x:c r="G97" s="22"/>
      <x:c r="H97" s="22"/>
      <x:c r="I97" s="37"/>
      <x:c r="J97" s="22"/>
      <x:c r="K97" s="22"/>
      <x:c r="L97" s="22"/>
      <x:c r="M97" s="22"/>
      <x:c r="N97" s="22"/>
      <x:c r="O97" s="28" t="str">
        <x:f>IF(COUNTA(A97:N97)=0,"",IF(OR(A97="",B97="",C97="",D97="",E97="",J97="",L97="",M97=""),"不通过：缺少必填项",IF(COUNTIFS($B$5:$B$104,B97,$D$5:$D$104,D97)&gt;1,"不通过：标本容器组合重复","通过")))</x:f>
      </x:c>
    </x:row>
    <x:row r="98">
      <x:c r="A98" s="22"/>
      <x:c r="B98" s="22"/>
      <x:c r="C98" s="22"/>
      <x:c r="D98" s="22"/>
      <x:c r="E98" s="22"/>
      <x:c r="F98" s="37"/>
      <x:c r="G98" s="22"/>
      <x:c r="H98" s="22"/>
      <x:c r="I98" s="37"/>
      <x:c r="J98" s="22"/>
      <x:c r="K98" s="22"/>
      <x:c r="L98" s="22"/>
      <x:c r="M98" s="22"/>
      <x:c r="N98" s="22"/>
      <x:c r="O98" s="28" t="str">
        <x:f>IF(COUNTA(A98:N98)=0,"",IF(OR(A98="",B98="",C98="",D98="",E98="",J98="",L98="",M98=""),"不通过：缺少必填项",IF(COUNTIFS($B$5:$B$104,B98,$D$5:$D$104,D98)&gt;1,"不通过：标本容器组合重复","通过")))</x:f>
      </x:c>
    </x:row>
    <x:row r="99">
      <x:c r="A99" s="22"/>
      <x:c r="B99" s="22"/>
      <x:c r="C99" s="22"/>
      <x:c r="D99" s="22"/>
      <x:c r="E99" s="22"/>
      <x:c r="F99" s="37"/>
      <x:c r="G99" s="22"/>
      <x:c r="H99" s="22"/>
      <x:c r="I99" s="37"/>
      <x:c r="J99" s="22"/>
      <x:c r="K99" s="22"/>
      <x:c r="L99" s="22"/>
      <x:c r="M99" s="22"/>
      <x:c r="N99" s="22"/>
      <x:c r="O99" s="28" t="str">
        <x:f>IF(COUNTA(A99:N99)=0,"",IF(OR(A99="",B99="",C99="",D99="",E99="",J99="",L99="",M99=""),"不通过：缺少必填项",IF(COUNTIFS($B$5:$B$104,B99,$D$5:$D$104,D99)&gt;1,"不通过：标本容器组合重复","通过")))</x:f>
      </x:c>
    </x:row>
    <x:row r="100">
      <x:c r="A100" s="22"/>
      <x:c r="B100" s="22"/>
      <x:c r="C100" s="22"/>
      <x:c r="D100" s="22"/>
      <x:c r="E100" s="22"/>
      <x:c r="F100" s="37"/>
      <x:c r="G100" s="22"/>
      <x:c r="H100" s="22"/>
      <x:c r="I100" s="37"/>
      <x:c r="J100" s="22"/>
      <x:c r="K100" s="22"/>
      <x:c r="L100" s="22"/>
      <x:c r="M100" s="22"/>
      <x:c r="N100" s="22"/>
      <x:c r="O100" s="28" t="str">
        <x:f>IF(COUNTA(A100:N100)=0,"",IF(OR(A100="",B100="",C100="",D100="",E100="",J100="",L100="",M100=""),"不通过：缺少必填项",IF(COUNTIFS($B$5:$B$104,B100,$D$5:$D$104,D100)&gt;1,"不通过：标本容器组合重复","通过")))</x:f>
      </x:c>
    </x:row>
    <x:row r="101">
      <x:c r="A101" s="22"/>
      <x:c r="B101" s="22"/>
      <x:c r="C101" s="22"/>
      <x:c r="D101" s="22"/>
      <x:c r="E101" s="22"/>
      <x:c r="F101" s="37"/>
      <x:c r="G101" s="22"/>
      <x:c r="H101" s="22"/>
      <x:c r="I101" s="37"/>
      <x:c r="J101" s="22"/>
      <x:c r="K101" s="22"/>
      <x:c r="L101" s="22"/>
      <x:c r="M101" s="22"/>
      <x:c r="N101" s="22"/>
      <x:c r="O101" s="28" t="str">
        <x:f>IF(COUNTA(A101:N101)=0,"",IF(OR(A101="",B101="",C101="",D101="",E101="",J101="",L101="",M101=""),"不通过：缺少必填项",IF(COUNTIFS($B$5:$B$104,B101,$D$5:$D$104,D101)&gt;1,"不通过：标本容器组合重复","通过")))</x:f>
      </x:c>
    </x:row>
    <x:row r="102">
      <x:c r="A102" s="22"/>
      <x:c r="B102" s="22"/>
      <x:c r="C102" s="22"/>
      <x:c r="D102" s="22"/>
      <x:c r="E102" s="22"/>
      <x:c r="F102" s="37"/>
      <x:c r="G102" s="22"/>
      <x:c r="H102" s="22"/>
      <x:c r="I102" s="37"/>
      <x:c r="J102" s="22"/>
      <x:c r="K102" s="22"/>
      <x:c r="L102" s="22"/>
      <x:c r="M102" s="22"/>
      <x:c r="N102" s="22"/>
      <x:c r="O102" s="28" t="str">
        <x:f>IF(COUNTA(A102:N102)=0,"",IF(OR(A102="",B102="",C102="",D102="",E102="",J102="",L102="",M102=""),"不通过：缺少必填项",IF(COUNTIFS($B$5:$B$104,B102,$D$5:$D$104,D102)&gt;1,"不通过：标本容器组合重复","通过")))</x:f>
      </x:c>
    </x:row>
    <x:row r="103">
      <x:c r="A103" s="22"/>
      <x:c r="B103" s="22"/>
      <x:c r="C103" s="22"/>
      <x:c r="D103" s="22"/>
      <x:c r="E103" s="22"/>
      <x:c r="F103" s="37"/>
      <x:c r="G103" s="22"/>
      <x:c r="H103" s="22"/>
      <x:c r="I103" s="37"/>
      <x:c r="J103" s="22"/>
      <x:c r="K103" s="22"/>
      <x:c r="L103" s="22"/>
      <x:c r="M103" s="22"/>
      <x:c r="N103" s="22"/>
      <x:c r="O103" s="28" t="str">
        <x:f>IF(COUNTA(A103:N103)=0,"",IF(OR(A103="",B103="",C103="",D103="",E103="",J103="",L103="",M103=""),"不通过：缺少必填项",IF(COUNTIFS($B$5:$B$104,B103,$D$5:$D$104,D103)&gt;1,"不通过：标本容器组合重复","通过")))</x:f>
      </x:c>
    </x:row>
    <x:row r="104">
      <x:c r="A104" s="23"/>
      <x:c r="B104" s="23"/>
      <x:c r="C104" s="23"/>
      <x:c r="D104" s="23"/>
      <x:c r="E104" s="23"/>
      <x:c r="F104" s="38"/>
      <x:c r="G104" s="23"/>
      <x:c r="H104" s="23"/>
      <x:c r="I104" s="38"/>
      <x:c r="J104" s="23"/>
      <x:c r="K104" s="23"/>
      <x:c r="L104" s="23"/>
      <x:c r="M104" s="23"/>
      <x:c r="N104" s="23"/>
      <x:c r="O104" s="29" t="str">
        <x:f>IF(COUNTA(A104:N104)=0,"",IF(OR(A104="",B104="",C104="",D104="",E104="",J104="",L104="",M104=""),"不通过：缺少必填项",IF(COUNTIFS($B$5:$B$104,B104,$D$5:$D$104,D104)&gt;1,"不通过：标本容器组合重复","通过")))</x:f>
      </x:c>
    </x:row>
  </x:sheetData>
  <x:mergeCells>
    <x:mergeCell ref="A1:O1"/>
    <x:mergeCell ref="A2:O2"/>
  </x:mergeCells>
  <x:conditionalFormatting sqref="O5:O104">
    <x:cfRule type="beginsWith" dxfId="8" priority="1" operator="beginsWith" text="不通过"/>
    <x:cfRule type="cellIs" dxfId="9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L5:L104">
      <x:formula1>"启用,停用"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2" hidden="0" customWidth="1"/>
    <x:col min="7" max="7" width="15" hidden="0" customWidth="1"/>
    <x:col min="8" max="8" width="15" hidden="0" customWidth="1"/>
    <x:col min="9" max="9" width="24" hidden="0" customWidth="1"/>
    <x:col min="10" max="10" width="28" hidden="0" customWidth="1"/>
    <x:col min="11" max="11" width="28" hidden="0" customWidth="1"/>
  </x:cols>
  <x:sheetData>
    <x:row r="1" ht="32" customHeight="1">
      <x:c r="A1" s="3" t="str">
        <x:v>检验结果单位目录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由检验科审定。本地单位编码和UCUM编码分别用于院内识别及标准接口；显示符号不能代替稳定编码。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数据状态*</x:v>
      </x:c>
      <x:c r="B4" s="12" t="str">
        <x:v>单位编码*</x:v>
      </x:c>
      <x:c r="C4" s="12" t="str">
        <x:v>显示名称*</x:v>
      </x:c>
      <x:c r="D4" s="12" t="str">
        <x:v>显示符号*</x:v>
      </x:c>
      <x:c r="E4" s="12" t="str">
        <x:v>UCUM编码*</x:v>
      </x:c>
      <x:c r="F4" s="12" t="str">
        <x:v>启用状态*</x:v>
      </x:c>
      <x:c r="G4" s="12" t="str">
        <x:v>有效开始日期</x:v>
      </x:c>
      <x:c r="H4" s="12" t="str">
        <x:v>有效结束日期</x:v>
      </x:c>
      <x:c r="I4" s="12" t="str">
        <x:v>依据/版本*</x:v>
      </x:c>
      <x:c r="J4" s="12" t="str">
        <x:v>备注</x:v>
      </x:c>
      <x:c r="K4" s="12" t="str">
        <x:v>校验结果</x:v>
      </x:c>
    </x:row>
    <x:row r="5">
      <x:c r="A5" s="21"/>
      <x:c r="B5" s="21"/>
      <x:c r="C5" s="21"/>
      <x:c r="D5" s="21"/>
      <x:c r="E5" s="21"/>
      <x:c r="F5" s="21"/>
      <x:c r="G5" s="30"/>
      <x:c r="H5" s="30"/>
      <x:c r="I5" s="21"/>
      <x:c r="J5" s="21"/>
      <x:c r="K5" s="27" t="str">
        <x:f>IF(COUNTA(A5:J5)=0,"",IF(OR(A5="",B5="",C5="",D5="",E5="",F5="",I5=""),"不通过：缺少必填项",IF(COUNTIF($B$5:$B$104,B5)&gt;1,"不通过：编码重复",IF(COUNTIF($E$5:$E$104,E5)&gt;1,"不通过：UCUM编码重复","通过"))))</x:f>
      </x:c>
    </x:row>
    <x:row r="6">
      <x:c r="A6" s="22"/>
      <x:c r="B6" s="22"/>
      <x:c r="C6" s="22"/>
      <x:c r="D6" s="22"/>
      <x:c r="E6" s="22"/>
      <x:c r="F6" s="22"/>
      <x:c r="G6" s="31"/>
      <x:c r="H6" s="31"/>
      <x:c r="I6" s="22"/>
      <x:c r="J6" s="22"/>
      <x:c r="K6" s="28" t="str">
        <x:f>IF(COUNTA(A6:J6)=0,"",IF(OR(A6="",B6="",C6="",D6="",E6="",F6="",I6=""),"不通过：缺少必填项",IF(COUNTIF($B$5:$B$104,B6)&gt;1,"不通过：编码重复",IF(COUNTIF($E$5:$E$104,E6)&gt;1,"不通过：UCUM编码重复","通过"))))</x:f>
      </x:c>
    </x:row>
    <x:row r="7">
      <x:c r="A7" s="22"/>
      <x:c r="B7" s="22"/>
      <x:c r="C7" s="22"/>
      <x:c r="D7" s="22"/>
      <x:c r="E7" s="22"/>
      <x:c r="F7" s="22"/>
      <x:c r="G7" s="31"/>
      <x:c r="H7" s="31"/>
      <x:c r="I7" s="22"/>
      <x:c r="J7" s="22"/>
      <x:c r="K7" s="28" t="str">
        <x:f>IF(COUNTA(A7:J7)=0,"",IF(OR(A7="",B7="",C7="",D7="",E7="",F7="",I7=""),"不通过：缺少必填项",IF(COUNTIF($B$5:$B$104,B7)&gt;1,"不通过：编码重复",IF(COUNTIF($E$5:$E$104,E7)&gt;1,"不通过：UCUM编码重复","通过"))))</x:f>
      </x:c>
    </x:row>
    <x:row r="8">
      <x:c r="A8" s="22"/>
      <x:c r="B8" s="22"/>
      <x:c r="C8" s="22"/>
      <x:c r="D8" s="22"/>
      <x:c r="E8" s="22"/>
      <x:c r="F8" s="22"/>
      <x:c r="G8" s="31"/>
      <x:c r="H8" s="31"/>
      <x:c r="I8" s="22"/>
      <x:c r="J8" s="22"/>
      <x:c r="K8" s="28" t="str">
        <x:f>IF(COUNTA(A8:J8)=0,"",IF(OR(A8="",B8="",C8="",D8="",E8="",F8="",I8=""),"不通过：缺少必填项",IF(COUNTIF($B$5:$B$104,B8)&gt;1,"不通过：编码重复",IF(COUNTIF($E$5:$E$104,E8)&gt;1,"不通过：UCUM编码重复","通过"))))</x:f>
      </x:c>
    </x:row>
    <x:row r="9">
      <x:c r="A9" s="22"/>
      <x:c r="B9" s="22"/>
      <x:c r="C9" s="22"/>
      <x:c r="D9" s="22"/>
      <x:c r="E9" s="22"/>
      <x:c r="F9" s="22"/>
      <x:c r="G9" s="31"/>
      <x:c r="H9" s="31"/>
      <x:c r="I9" s="22"/>
      <x:c r="J9" s="22"/>
      <x:c r="K9" s="28" t="str">
        <x:f>IF(COUNTA(A9:J9)=0,"",IF(OR(A9="",B9="",C9="",D9="",E9="",F9="",I9=""),"不通过：缺少必填项",IF(COUNTIF($B$5:$B$104,B9)&gt;1,"不通过：编码重复",IF(COUNTIF($E$5:$E$104,E9)&gt;1,"不通过：UCUM编码重复","通过"))))</x:f>
      </x:c>
    </x:row>
    <x:row r="10">
      <x:c r="A10" s="22"/>
      <x:c r="B10" s="22"/>
      <x:c r="C10" s="22"/>
      <x:c r="D10" s="22"/>
      <x:c r="E10" s="22"/>
      <x:c r="F10" s="22"/>
      <x:c r="G10" s="31"/>
      <x:c r="H10" s="31"/>
      <x:c r="I10" s="22"/>
      <x:c r="J10" s="22"/>
      <x:c r="K10" s="28" t="str">
        <x:f>IF(COUNTA(A10:J10)=0,"",IF(OR(A10="",B10="",C10="",D10="",E10="",F10="",I10=""),"不通过：缺少必填项",IF(COUNTIF($B$5:$B$104,B10)&gt;1,"不通过：编码重复",IF(COUNTIF($E$5:$E$104,E10)&gt;1,"不通过：UCUM编码重复","通过"))))</x:f>
      </x:c>
    </x:row>
    <x:row r="11">
      <x:c r="A11" s="22"/>
      <x:c r="B11" s="22"/>
      <x:c r="C11" s="22"/>
      <x:c r="D11" s="22"/>
      <x:c r="E11" s="22"/>
      <x:c r="F11" s="22"/>
      <x:c r="G11" s="31"/>
      <x:c r="H11" s="31"/>
      <x:c r="I11" s="22"/>
      <x:c r="J11" s="22"/>
      <x:c r="K11" s="28" t="str">
        <x:f>IF(COUNTA(A11:J11)=0,"",IF(OR(A11="",B11="",C11="",D11="",E11="",F11="",I11=""),"不通过：缺少必填项",IF(COUNTIF($B$5:$B$104,B11)&gt;1,"不通过：编码重复",IF(COUNTIF($E$5:$E$104,E11)&gt;1,"不通过：UCUM编码重复","通过"))))</x:f>
      </x:c>
    </x:row>
    <x:row r="12">
      <x:c r="A12" s="22"/>
      <x:c r="B12" s="22"/>
      <x:c r="C12" s="22"/>
      <x:c r="D12" s="22"/>
      <x:c r="E12" s="22"/>
      <x:c r="F12" s="22"/>
      <x:c r="G12" s="31"/>
      <x:c r="H12" s="31"/>
      <x:c r="I12" s="22"/>
      <x:c r="J12" s="22"/>
      <x:c r="K12" s="28" t="str">
        <x:f>IF(COUNTA(A12:J12)=0,"",IF(OR(A12="",B12="",C12="",D12="",E12="",F12="",I12=""),"不通过：缺少必填项",IF(COUNTIF($B$5:$B$104,B12)&gt;1,"不通过：编码重复",IF(COUNTIF($E$5:$E$104,E12)&gt;1,"不通过：UCUM编码重复","通过"))))</x:f>
      </x:c>
    </x:row>
    <x:row r="13">
      <x:c r="A13" s="22"/>
      <x:c r="B13" s="22"/>
      <x:c r="C13" s="22"/>
      <x:c r="D13" s="22"/>
      <x:c r="E13" s="22"/>
      <x:c r="F13" s="22"/>
      <x:c r="G13" s="31"/>
      <x:c r="H13" s="31"/>
      <x:c r="I13" s="22"/>
      <x:c r="J13" s="22"/>
      <x:c r="K13" s="28" t="str">
        <x:f>IF(COUNTA(A13:J13)=0,"",IF(OR(A13="",B13="",C13="",D13="",E13="",F13="",I13=""),"不通过：缺少必填项",IF(COUNTIF($B$5:$B$104,B13)&gt;1,"不通过：编码重复",IF(COUNTIF($E$5:$E$104,E13)&gt;1,"不通过：UCUM编码重复","通过"))))</x:f>
      </x:c>
    </x:row>
    <x:row r="14">
      <x:c r="A14" s="22"/>
      <x:c r="B14" s="22"/>
      <x:c r="C14" s="22"/>
      <x:c r="D14" s="22"/>
      <x:c r="E14" s="22"/>
      <x:c r="F14" s="22"/>
      <x:c r="G14" s="31"/>
      <x:c r="H14" s="31"/>
      <x:c r="I14" s="22"/>
      <x:c r="J14" s="22"/>
      <x:c r="K14" s="28" t="str">
        <x:f>IF(COUNTA(A14:J14)=0,"",IF(OR(A14="",B14="",C14="",D14="",E14="",F14="",I14=""),"不通过：缺少必填项",IF(COUNTIF($B$5:$B$104,B14)&gt;1,"不通过：编码重复",IF(COUNTIF($E$5:$E$104,E14)&gt;1,"不通过：UCUM编码重复","通过"))))</x:f>
      </x:c>
    </x:row>
    <x:row r="15">
      <x:c r="A15" s="22"/>
      <x:c r="B15" s="22"/>
      <x:c r="C15" s="22"/>
      <x:c r="D15" s="22"/>
      <x:c r="E15" s="22"/>
      <x:c r="F15" s="22"/>
      <x:c r="G15" s="31"/>
      <x:c r="H15" s="31"/>
      <x:c r="I15" s="22"/>
      <x:c r="J15" s="22"/>
      <x:c r="K15" s="28" t="str">
        <x:f>IF(COUNTA(A15:J15)=0,"",IF(OR(A15="",B15="",C15="",D15="",E15="",F15="",I15=""),"不通过：缺少必填项",IF(COUNTIF($B$5:$B$104,B15)&gt;1,"不通过：编码重复",IF(COUNTIF($E$5:$E$104,E15)&gt;1,"不通过：UCUM编码重复","通过"))))</x:f>
      </x:c>
    </x:row>
    <x:row r="16">
      <x:c r="A16" s="22"/>
      <x:c r="B16" s="22"/>
      <x:c r="C16" s="22"/>
      <x:c r="D16" s="22"/>
      <x:c r="E16" s="22"/>
      <x:c r="F16" s="22"/>
      <x:c r="G16" s="31"/>
      <x:c r="H16" s="31"/>
      <x:c r="I16" s="22"/>
      <x:c r="J16" s="22"/>
      <x:c r="K16" s="28" t="str">
        <x:f>IF(COUNTA(A16:J16)=0,"",IF(OR(A16="",B16="",C16="",D16="",E16="",F16="",I16=""),"不通过：缺少必填项",IF(COUNTIF($B$5:$B$104,B16)&gt;1,"不通过：编码重复",IF(COUNTIF($E$5:$E$104,E16)&gt;1,"不通过：UCUM编码重复","通过"))))</x:f>
      </x:c>
    </x:row>
    <x:row r="17">
      <x:c r="A17" s="22"/>
      <x:c r="B17" s="22"/>
      <x:c r="C17" s="22"/>
      <x:c r="D17" s="22"/>
      <x:c r="E17" s="22"/>
      <x:c r="F17" s="22"/>
      <x:c r="G17" s="31"/>
      <x:c r="H17" s="31"/>
      <x:c r="I17" s="22"/>
      <x:c r="J17" s="22"/>
      <x:c r="K17" s="28" t="str">
        <x:f>IF(COUNTA(A17:J17)=0,"",IF(OR(A17="",B17="",C17="",D17="",E17="",F17="",I17=""),"不通过：缺少必填项",IF(COUNTIF($B$5:$B$104,B17)&gt;1,"不通过：编码重复",IF(COUNTIF($E$5:$E$104,E17)&gt;1,"不通过：UCUM编码重复","通过"))))</x:f>
      </x:c>
    </x:row>
    <x:row r="18">
      <x:c r="A18" s="22"/>
      <x:c r="B18" s="22"/>
      <x:c r="C18" s="22"/>
      <x:c r="D18" s="22"/>
      <x:c r="E18" s="22"/>
      <x:c r="F18" s="22"/>
      <x:c r="G18" s="31"/>
      <x:c r="H18" s="31"/>
      <x:c r="I18" s="22"/>
      <x:c r="J18" s="22"/>
      <x:c r="K18" s="28" t="str">
        <x:f>IF(COUNTA(A18:J18)=0,"",IF(OR(A18="",B18="",C18="",D18="",E18="",F18="",I18=""),"不通过：缺少必填项",IF(COUNTIF($B$5:$B$104,B18)&gt;1,"不通过：编码重复",IF(COUNTIF($E$5:$E$104,E18)&gt;1,"不通过：UCUM编码重复","通过"))))</x:f>
      </x:c>
    </x:row>
    <x:row r="19">
      <x:c r="A19" s="22"/>
      <x:c r="B19" s="22"/>
      <x:c r="C19" s="22"/>
      <x:c r="D19" s="22"/>
      <x:c r="E19" s="22"/>
      <x:c r="F19" s="22"/>
      <x:c r="G19" s="31"/>
      <x:c r="H19" s="31"/>
      <x:c r="I19" s="22"/>
      <x:c r="J19" s="22"/>
      <x:c r="K19" s="28" t="str">
        <x:f>IF(COUNTA(A19:J19)=0,"",IF(OR(A19="",B19="",C19="",D19="",E19="",F19="",I19=""),"不通过：缺少必填项",IF(COUNTIF($B$5:$B$104,B19)&gt;1,"不通过：编码重复",IF(COUNTIF($E$5:$E$104,E19)&gt;1,"不通过：UCUM编码重复","通过"))))</x:f>
      </x:c>
    </x:row>
    <x:row r="20">
      <x:c r="A20" s="22"/>
      <x:c r="B20" s="22"/>
      <x:c r="C20" s="22"/>
      <x:c r="D20" s="22"/>
      <x:c r="E20" s="22"/>
      <x:c r="F20" s="22"/>
      <x:c r="G20" s="31"/>
      <x:c r="H20" s="31"/>
      <x:c r="I20" s="22"/>
      <x:c r="J20" s="22"/>
      <x:c r="K20" s="28" t="str">
        <x:f>IF(COUNTA(A20:J20)=0,"",IF(OR(A20="",B20="",C20="",D20="",E20="",F20="",I20=""),"不通过：缺少必填项",IF(COUNTIF($B$5:$B$104,B20)&gt;1,"不通过：编码重复",IF(COUNTIF($E$5:$E$104,E20)&gt;1,"不通过：UCUM编码重复","通过"))))</x:f>
      </x:c>
    </x:row>
    <x:row r="21">
      <x:c r="A21" s="22"/>
      <x:c r="B21" s="22"/>
      <x:c r="C21" s="22"/>
      <x:c r="D21" s="22"/>
      <x:c r="E21" s="22"/>
      <x:c r="F21" s="22"/>
      <x:c r="G21" s="31"/>
      <x:c r="H21" s="31"/>
      <x:c r="I21" s="22"/>
      <x:c r="J21" s="22"/>
      <x:c r="K21" s="28" t="str">
        <x:f>IF(COUNTA(A21:J21)=0,"",IF(OR(A21="",B21="",C21="",D21="",E21="",F21="",I21=""),"不通过：缺少必填项",IF(COUNTIF($B$5:$B$104,B21)&gt;1,"不通过：编码重复",IF(COUNTIF($E$5:$E$104,E21)&gt;1,"不通过：UCUM编码重复","通过"))))</x:f>
      </x:c>
    </x:row>
    <x:row r="22">
      <x:c r="A22" s="22"/>
      <x:c r="B22" s="22"/>
      <x:c r="C22" s="22"/>
      <x:c r="D22" s="22"/>
      <x:c r="E22" s="22"/>
      <x:c r="F22" s="22"/>
      <x:c r="G22" s="31"/>
      <x:c r="H22" s="31"/>
      <x:c r="I22" s="22"/>
      <x:c r="J22" s="22"/>
      <x:c r="K22" s="28" t="str">
        <x:f>IF(COUNTA(A22:J22)=0,"",IF(OR(A22="",B22="",C22="",D22="",E22="",F22="",I22=""),"不通过：缺少必填项",IF(COUNTIF($B$5:$B$104,B22)&gt;1,"不通过：编码重复",IF(COUNTIF($E$5:$E$104,E22)&gt;1,"不通过：UCUM编码重复","通过"))))</x:f>
      </x:c>
    </x:row>
    <x:row r="23">
      <x:c r="A23" s="22"/>
      <x:c r="B23" s="22"/>
      <x:c r="C23" s="22"/>
      <x:c r="D23" s="22"/>
      <x:c r="E23" s="22"/>
      <x:c r="F23" s="22"/>
      <x:c r="G23" s="31"/>
      <x:c r="H23" s="31"/>
      <x:c r="I23" s="22"/>
      <x:c r="J23" s="22"/>
      <x:c r="K23" s="28" t="str">
        <x:f>IF(COUNTA(A23:J23)=0,"",IF(OR(A23="",B23="",C23="",D23="",E23="",F23="",I23=""),"不通过：缺少必填项",IF(COUNTIF($B$5:$B$104,B23)&gt;1,"不通过：编码重复",IF(COUNTIF($E$5:$E$104,E23)&gt;1,"不通过：UCUM编码重复","通过"))))</x:f>
      </x:c>
    </x:row>
    <x:row r="24">
      <x:c r="A24" s="22"/>
      <x:c r="B24" s="22"/>
      <x:c r="C24" s="22"/>
      <x:c r="D24" s="22"/>
      <x:c r="E24" s="22"/>
      <x:c r="F24" s="22"/>
      <x:c r="G24" s="31"/>
      <x:c r="H24" s="31"/>
      <x:c r="I24" s="22"/>
      <x:c r="J24" s="22"/>
      <x:c r="K24" s="28" t="str">
        <x:f>IF(COUNTA(A24:J24)=0,"",IF(OR(A24="",B24="",C24="",D24="",E24="",F24="",I24=""),"不通过：缺少必填项",IF(COUNTIF($B$5:$B$104,B24)&gt;1,"不通过：编码重复",IF(COUNTIF($E$5:$E$104,E24)&gt;1,"不通过：UCUM编码重复","通过"))))</x:f>
      </x:c>
    </x:row>
    <x:row r="25">
      <x:c r="A25" s="22"/>
      <x:c r="B25" s="22"/>
      <x:c r="C25" s="22"/>
      <x:c r="D25" s="22"/>
      <x:c r="E25" s="22"/>
      <x:c r="F25" s="22"/>
      <x:c r="G25" s="31"/>
      <x:c r="H25" s="31"/>
      <x:c r="I25" s="22"/>
      <x:c r="J25" s="22"/>
      <x:c r="K25" s="28" t="str">
        <x:f>IF(COUNTA(A25:J25)=0,"",IF(OR(A25="",B25="",C25="",D25="",E25="",F25="",I25=""),"不通过：缺少必填项",IF(COUNTIF($B$5:$B$104,B25)&gt;1,"不通过：编码重复",IF(COUNTIF($E$5:$E$104,E25)&gt;1,"不通过：UCUM编码重复","通过"))))</x:f>
      </x:c>
    </x:row>
    <x:row r="26">
      <x:c r="A26" s="22"/>
      <x:c r="B26" s="22"/>
      <x:c r="C26" s="22"/>
      <x:c r="D26" s="22"/>
      <x:c r="E26" s="22"/>
      <x:c r="F26" s="22"/>
      <x:c r="G26" s="31"/>
      <x:c r="H26" s="31"/>
      <x:c r="I26" s="22"/>
      <x:c r="J26" s="22"/>
      <x:c r="K26" s="28" t="str">
        <x:f>IF(COUNTA(A26:J26)=0,"",IF(OR(A26="",B26="",C26="",D26="",E26="",F26="",I26=""),"不通过：缺少必填项",IF(COUNTIF($B$5:$B$104,B26)&gt;1,"不通过：编码重复",IF(COUNTIF($E$5:$E$104,E26)&gt;1,"不通过：UCUM编码重复","通过"))))</x:f>
      </x:c>
    </x:row>
    <x:row r="27">
      <x:c r="A27" s="22"/>
      <x:c r="B27" s="22"/>
      <x:c r="C27" s="22"/>
      <x:c r="D27" s="22"/>
      <x:c r="E27" s="22"/>
      <x:c r="F27" s="22"/>
      <x:c r="G27" s="31"/>
      <x:c r="H27" s="31"/>
      <x:c r="I27" s="22"/>
      <x:c r="J27" s="22"/>
      <x:c r="K27" s="28" t="str">
        <x:f>IF(COUNTA(A27:J27)=0,"",IF(OR(A27="",B27="",C27="",D27="",E27="",F27="",I27=""),"不通过：缺少必填项",IF(COUNTIF($B$5:$B$104,B27)&gt;1,"不通过：编码重复",IF(COUNTIF($E$5:$E$104,E27)&gt;1,"不通过：UCUM编码重复","通过"))))</x:f>
      </x:c>
    </x:row>
    <x:row r="28">
      <x:c r="A28" s="22"/>
      <x:c r="B28" s="22"/>
      <x:c r="C28" s="22"/>
      <x:c r="D28" s="22"/>
      <x:c r="E28" s="22"/>
      <x:c r="F28" s="22"/>
      <x:c r="G28" s="31"/>
      <x:c r="H28" s="31"/>
      <x:c r="I28" s="22"/>
      <x:c r="J28" s="22"/>
      <x:c r="K28" s="28" t="str">
        <x:f>IF(COUNTA(A28:J28)=0,"",IF(OR(A28="",B28="",C28="",D28="",E28="",F28="",I28=""),"不通过：缺少必填项",IF(COUNTIF($B$5:$B$104,B28)&gt;1,"不通过：编码重复",IF(COUNTIF($E$5:$E$104,E28)&gt;1,"不通过：UCUM编码重复","通过"))))</x:f>
      </x:c>
    </x:row>
    <x:row r="29">
      <x:c r="A29" s="22"/>
      <x:c r="B29" s="22"/>
      <x:c r="C29" s="22"/>
      <x:c r="D29" s="22"/>
      <x:c r="E29" s="22"/>
      <x:c r="F29" s="22"/>
      <x:c r="G29" s="31"/>
      <x:c r="H29" s="31"/>
      <x:c r="I29" s="22"/>
      <x:c r="J29" s="22"/>
      <x:c r="K29" s="28" t="str">
        <x:f>IF(COUNTA(A29:J29)=0,"",IF(OR(A29="",B29="",C29="",D29="",E29="",F29="",I29=""),"不通过：缺少必填项",IF(COUNTIF($B$5:$B$104,B29)&gt;1,"不通过：编码重复",IF(COUNTIF($E$5:$E$104,E29)&gt;1,"不通过：UCUM编码重复","通过"))))</x:f>
      </x:c>
    </x:row>
    <x:row r="30">
      <x:c r="A30" s="22"/>
      <x:c r="B30" s="22"/>
      <x:c r="C30" s="22"/>
      <x:c r="D30" s="22"/>
      <x:c r="E30" s="22"/>
      <x:c r="F30" s="22"/>
      <x:c r="G30" s="31"/>
      <x:c r="H30" s="31"/>
      <x:c r="I30" s="22"/>
      <x:c r="J30" s="22"/>
      <x:c r="K30" s="28" t="str">
        <x:f>IF(COUNTA(A30:J30)=0,"",IF(OR(A30="",B30="",C30="",D30="",E30="",F30="",I30=""),"不通过：缺少必填项",IF(COUNTIF($B$5:$B$104,B30)&gt;1,"不通过：编码重复",IF(COUNTIF($E$5:$E$104,E30)&gt;1,"不通过：UCUM编码重复","通过"))))</x:f>
      </x:c>
    </x:row>
    <x:row r="31">
      <x:c r="A31" s="22"/>
      <x:c r="B31" s="22"/>
      <x:c r="C31" s="22"/>
      <x:c r="D31" s="22"/>
      <x:c r="E31" s="22"/>
      <x:c r="F31" s="22"/>
      <x:c r="G31" s="31"/>
      <x:c r="H31" s="31"/>
      <x:c r="I31" s="22"/>
      <x:c r="J31" s="22"/>
      <x:c r="K31" s="28" t="str">
        <x:f>IF(COUNTA(A31:J31)=0,"",IF(OR(A31="",B31="",C31="",D31="",E31="",F31="",I31=""),"不通过：缺少必填项",IF(COUNTIF($B$5:$B$104,B31)&gt;1,"不通过：编码重复",IF(COUNTIF($E$5:$E$104,E31)&gt;1,"不通过：UCUM编码重复","通过"))))</x:f>
      </x:c>
    </x:row>
    <x:row r="32">
      <x:c r="A32" s="22"/>
      <x:c r="B32" s="22"/>
      <x:c r="C32" s="22"/>
      <x:c r="D32" s="22"/>
      <x:c r="E32" s="22"/>
      <x:c r="F32" s="22"/>
      <x:c r="G32" s="31"/>
      <x:c r="H32" s="31"/>
      <x:c r="I32" s="22"/>
      <x:c r="J32" s="22"/>
      <x:c r="K32" s="28" t="str">
        <x:f>IF(COUNTA(A32:J32)=0,"",IF(OR(A32="",B32="",C32="",D32="",E32="",F32="",I32=""),"不通过：缺少必填项",IF(COUNTIF($B$5:$B$104,B32)&gt;1,"不通过：编码重复",IF(COUNTIF($E$5:$E$104,E32)&gt;1,"不通过：UCUM编码重复","通过"))))</x:f>
      </x:c>
    </x:row>
    <x:row r="33">
      <x:c r="A33" s="22"/>
      <x:c r="B33" s="22"/>
      <x:c r="C33" s="22"/>
      <x:c r="D33" s="22"/>
      <x:c r="E33" s="22"/>
      <x:c r="F33" s="22"/>
      <x:c r="G33" s="31"/>
      <x:c r="H33" s="31"/>
      <x:c r="I33" s="22"/>
      <x:c r="J33" s="22"/>
      <x:c r="K33" s="28" t="str">
        <x:f>IF(COUNTA(A33:J33)=0,"",IF(OR(A33="",B33="",C33="",D33="",E33="",F33="",I33=""),"不通过：缺少必填项",IF(COUNTIF($B$5:$B$104,B33)&gt;1,"不通过：编码重复",IF(COUNTIF($E$5:$E$104,E33)&gt;1,"不通过：UCUM编码重复","通过"))))</x:f>
      </x:c>
    </x:row>
    <x:row r="34">
      <x:c r="A34" s="22"/>
      <x:c r="B34" s="22"/>
      <x:c r="C34" s="22"/>
      <x:c r="D34" s="22"/>
      <x:c r="E34" s="22"/>
      <x:c r="F34" s="22"/>
      <x:c r="G34" s="31"/>
      <x:c r="H34" s="31"/>
      <x:c r="I34" s="22"/>
      <x:c r="J34" s="22"/>
      <x:c r="K34" s="28" t="str">
        <x:f>IF(COUNTA(A34:J34)=0,"",IF(OR(A34="",B34="",C34="",D34="",E34="",F34="",I34=""),"不通过：缺少必填项",IF(COUNTIF($B$5:$B$104,B34)&gt;1,"不通过：编码重复",IF(COUNTIF($E$5:$E$104,E34)&gt;1,"不通过：UCUM编码重复","通过"))))</x:f>
      </x:c>
    </x:row>
    <x:row r="35">
      <x:c r="A35" s="22"/>
      <x:c r="B35" s="22"/>
      <x:c r="C35" s="22"/>
      <x:c r="D35" s="22"/>
      <x:c r="E35" s="22"/>
      <x:c r="F35" s="22"/>
      <x:c r="G35" s="31"/>
      <x:c r="H35" s="31"/>
      <x:c r="I35" s="22"/>
      <x:c r="J35" s="22"/>
      <x:c r="K35" s="28" t="str">
        <x:f>IF(COUNTA(A35:J35)=0,"",IF(OR(A35="",B35="",C35="",D35="",E35="",F35="",I35=""),"不通过：缺少必填项",IF(COUNTIF($B$5:$B$104,B35)&gt;1,"不通过：编码重复",IF(COUNTIF($E$5:$E$104,E35)&gt;1,"不通过：UCUM编码重复","通过"))))</x:f>
      </x:c>
    </x:row>
    <x:row r="36">
      <x:c r="A36" s="22"/>
      <x:c r="B36" s="22"/>
      <x:c r="C36" s="22"/>
      <x:c r="D36" s="22"/>
      <x:c r="E36" s="22"/>
      <x:c r="F36" s="22"/>
      <x:c r="G36" s="31"/>
      <x:c r="H36" s="31"/>
      <x:c r="I36" s="22"/>
      <x:c r="J36" s="22"/>
      <x:c r="K36" s="28" t="str">
        <x:f>IF(COUNTA(A36:J36)=0,"",IF(OR(A36="",B36="",C36="",D36="",E36="",F36="",I36=""),"不通过：缺少必填项",IF(COUNTIF($B$5:$B$104,B36)&gt;1,"不通过：编码重复",IF(COUNTIF($E$5:$E$104,E36)&gt;1,"不通过：UCUM编码重复","通过"))))</x:f>
      </x:c>
    </x:row>
    <x:row r="37">
      <x:c r="A37" s="22"/>
      <x:c r="B37" s="22"/>
      <x:c r="C37" s="22"/>
      <x:c r="D37" s="22"/>
      <x:c r="E37" s="22"/>
      <x:c r="F37" s="22"/>
      <x:c r="G37" s="31"/>
      <x:c r="H37" s="31"/>
      <x:c r="I37" s="22"/>
      <x:c r="J37" s="22"/>
      <x:c r="K37" s="28" t="str">
        <x:f>IF(COUNTA(A37:J37)=0,"",IF(OR(A37="",B37="",C37="",D37="",E37="",F37="",I37=""),"不通过：缺少必填项",IF(COUNTIF($B$5:$B$104,B37)&gt;1,"不通过：编码重复",IF(COUNTIF($E$5:$E$104,E37)&gt;1,"不通过：UCUM编码重复","通过"))))</x:f>
      </x:c>
    </x:row>
    <x:row r="38">
      <x:c r="A38" s="22"/>
      <x:c r="B38" s="22"/>
      <x:c r="C38" s="22"/>
      <x:c r="D38" s="22"/>
      <x:c r="E38" s="22"/>
      <x:c r="F38" s="22"/>
      <x:c r="G38" s="31"/>
      <x:c r="H38" s="31"/>
      <x:c r="I38" s="22"/>
      <x:c r="J38" s="22"/>
      <x:c r="K38" s="28" t="str">
        <x:f>IF(COUNTA(A38:J38)=0,"",IF(OR(A38="",B38="",C38="",D38="",E38="",F38="",I38=""),"不通过：缺少必填项",IF(COUNTIF($B$5:$B$104,B38)&gt;1,"不通过：编码重复",IF(COUNTIF($E$5:$E$104,E38)&gt;1,"不通过：UCUM编码重复","通过"))))</x:f>
      </x:c>
    </x:row>
    <x:row r="39">
      <x:c r="A39" s="22"/>
      <x:c r="B39" s="22"/>
      <x:c r="C39" s="22"/>
      <x:c r="D39" s="22"/>
      <x:c r="E39" s="22"/>
      <x:c r="F39" s="22"/>
      <x:c r="G39" s="31"/>
      <x:c r="H39" s="31"/>
      <x:c r="I39" s="22"/>
      <x:c r="J39" s="22"/>
      <x:c r="K39" s="28" t="str">
        <x:f>IF(COUNTA(A39:J39)=0,"",IF(OR(A39="",B39="",C39="",D39="",E39="",F39="",I39=""),"不通过：缺少必填项",IF(COUNTIF($B$5:$B$104,B39)&gt;1,"不通过：编码重复",IF(COUNTIF($E$5:$E$104,E39)&gt;1,"不通过：UCUM编码重复","通过"))))</x:f>
      </x:c>
    </x:row>
    <x:row r="40">
      <x:c r="A40" s="22"/>
      <x:c r="B40" s="22"/>
      <x:c r="C40" s="22"/>
      <x:c r="D40" s="22"/>
      <x:c r="E40" s="22"/>
      <x:c r="F40" s="22"/>
      <x:c r="G40" s="31"/>
      <x:c r="H40" s="31"/>
      <x:c r="I40" s="22"/>
      <x:c r="J40" s="22"/>
      <x:c r="K40" s="28" t="str">
        <x:f>IF(COUNTA(A40:J40)=0,"",IF(OR(A40="",B40="",C40="",D40="",E40="",F40="",I40=""),"不通过：缺少必填项",IF(COUNTIF($B$5:$B$104,B40)&gt;1,"不通过：编码重复",IF(COUNTIF($E$5:$E$104,E40)&gt;1,"不通过：UCUM编码重复","通过"))))</x:f>
      </x:c>
    </x:row>
    <x:row r="41">
      <x:c r="A41" s="22"/>
      <x:c r="B41" s="22"/>
      <x:c r="C41" s="22"/>
      <x:c r="D41" s="22"/>
      <x:c r="E41" s="22"/>
      <x:c r="F41" s="22"/>
      <x:c r="G41" s="31"/>
      <x:c r="H41" s="31"/>
      <x:c r="I41" s="22"/>
      <x:c r="J41" s="22"/>
      <x:c r="K41" s="28" t="str">
        <x:f>IF(COUNTA(A41:J41)=0,"",IF(OR(A41="",B41="",C41="",D41="",E41="",F41="",I41=""),"不通过：缺少必填项",IF(COUNTIF($B$5:$B$104,B41)&gt;1,"不通过：编码重复",IF(COUNTIF($E$5:$E$104,E41)&gt;1,"不通过：UCUM编码重复","通过"))))</x:f>
      </x:c>
    </x:row>
    <x:row r="42">
      <x:c r="A42" s="22"/>
      <x:c r="B42" s="22"/>
      <x:c r="C42" s="22"/>
      <x:c r="D42" s="22"/>
      <x:c r="E42" s="22"/>
      <x:c r="F42" s="22"/>
      <x:c r="G42" s="31"/>
      <x:c r="H42" s="31"/>
      <x:c r="I42" s="22"/>
      <x:c r="J42" s="22"/>
      <x:c r="K42" s="28" t="str">
        <x:f>IF(COUNTA(A42:J42)=0,"",IF(OR(A42="",B42="",C42="",D42="",E42="",F42="",I42=""),"不通过：缺少必填项",IF(COUNTIF($B$5:$B$104,B42)&gt;1,"不通过：编码重复",IF(COUNTIF($E$5:$E$104,E42)&gt;1,"不通过：UCUM编码重复","通过"))))</x:f>
      </x:c>
    </x:row>
    <x:row r="43">
      <x:c r="A43" s="22"/>
      <x:c r="B43" s="22"/>
      <x:c r="C43" s="22"/>
      <x:c r="D43" s="22"/>
      <x:c r="E43" s="22"/>
      <x:c r="F43" s="22"/>
      <x:c r="G43" s="31"/>
      <x:c r="H43" s="31"/>
      <x:c r="I43" s="22"/>
      <x:c r="J43" s="22"/>
      <x:c r="K43" s="28" t="str">
        <x:f>IF(COUNTA(A43:J43)=0,"",IF(OR(A43="",B43="",C43="",D43="",E43="",F43="",I43=""),"不通过：缺少必填项",IF(COUNTIF($B$5:$B$104,B43)&gt;1,"不通过：编码重复",IF(COUNTIF($E$5:$E$104,E43)&gt;1,"不通过：UCUM编码重复","通过"))))</x:f>
      </x:c>
    </x:row>
    <x:row r="44">
      <x:c r="A44" s="22"/>
      <x:c r="B44" s="22"/>
      <x:c r="C44" s="22"/>
      <x:c r="D44" s="22"/>
      <x:c r="E44" s="22"/>
      <x:c r="F44" s="22"/>
      <x:c r="G44" s="31"/>
      <x:c r="H44" s="31"/>
      <x:c r="I44" s="22"/>
      <x:c r="J44" s="22"/>
      <x:c r="K44" s="28" t="str">
        <x:f>IF(COUNTA(A44:J44)=0,"",IF(OR(A44="",B44="",C44="",D44="",E44="",F44="",I44=""),"不通过：缺少必填项",IF(COUNTIF($B$5:$B$104,B44)&gt;1,"不通过：编码重复",IF(COUNTIF($E$5:$E$104,E44)&gt;1,"不通过：UCUM编码重复","通过"))))</x:f>
      </x:c>
    </x:row>
    <x:row r="45">
      <x:c r="A45" s="22"/>
      <x:c r="B45" s="22"/>
      <x:c r="C45" s="22"/>
      <x:c r="D45" s="22"/>
      <x:c r="E45" s="22"/>
      <x:c r="F45" s="22"/>
      <x:c r="G45" s="31"/>
      <x:c r="H45" s="31"/>
      <x:c r="I45" s="22"/>
      <x:c r="J45" s="22"/>
      <x:c r="K45" s="28" t="str">
        <x:f>IF(COUNTA(A45:J45)=0,"",IF(OR(A45="",B45="",C45="",D45="",E45="",F45="",I45=""),"不通过：缺少必填项",IF(COUNTIF($B$5:$B$104,B45)&gt;1,"不通过：编码重复",IF(COUNTIF($E$5:$E$104,E45)&gt;1,"不通过：UCUM编码重复","通过"))))</x:f>
      </x:c>
    </x:row>
    <x:row r="46">
      <x:c r="A46" s="22"/>
      <x:c r="B46" s="22"/>
      <x:c r="C46" s="22"/>
      <x:c r="D46" s="22"/>
      <x:c r="E46" s="22"/>
      <x:c r="F46" s="22"/>
      <x:c r="G46" s="31"/>
      <x:c r="H46" s="31"/>
      <x:c r="I46" s="22"/>
      <x:c r="J46" s="22"/>
      <x:c r="K46" s="28" t="str">
        <x:f>IF(COUNTA(A46:J46)=0,"",IF(OR(A46="",B46="",C46="",D46="",E46="",F46="",I46=""),"不通过：缺少必填项",IF(COUNTIF($B$5:$B$104,B46)&gt;1,"不通过：编码重复",IF(COUNTIF($E$5:$E$104,E46)&gt;1,"不通过：UCUM编码重复","通过"))))</x:f>
      </x:c>
    </x:row>
    <x:row r="47">
      <x:c r="A47" s="22"/>
      <x:c r="B47" s="22"/>
      <x:c r="C47" s="22"/>
      <x:c r="D47" s="22"/>
      <x:c r="E47" s="22"/>
      <x:c r="F47" s="22"/>
      <x:c r="G47" s="31"/>
      <x:c r="H47" s="31"/>
      <x:c r="I47" s="22"/>
      <x:c r="J47" s="22"/>
      <x:c r="K47" s="28" t="str">
        <x:f>IF(COUNTA(A47:J47)=0,"",IF(OR(A47="",B47="",C47="",D47="",E47="",F47="",I47=""),"不通过：缺少必填项",IF(COUNTIF($B$5:$B$104,B47)&gt;1,"不通过：编码重复",IF(COUNTIF($E$5:$E$104,E47)&gt;1,"不通过：UCUM编码重复","通过"))))</x:f>
      </x:c>
    </x:row>
    <x:row r="48">
      <x:c r="A48" s="22"/>
      <x:c r="B48" s="22"/>
      <x:c r="C48" s="22"/>
      <x:c r="D48" s="22"/>
      <x:c r="E48" s="22"/>
      <x:c r="F48" s="22"/>
      <x:c r="G48" s="31"/>
      <x:c r="H48" s="31"/>
      <x:c r="I48" s="22"/>
      <x:c r="J48" s="22"/>
      <x:c r="K48" s="28" t="str">
        <x:f>IF(COUNTA(A48:J48)=0,"",IF(OR(A48="",B48="",C48="",D48="",E48="",F48="",I48=""),"不通过：缺少必填项",IF(COUNTIF($B$5:$B$104,B48)&gt;1,"不通过：编码重复",IF(COUNTIF($E$5:$E$104,E48)&gt;1,"不通过：UCUM编码重复","通过"))))</x:f>
      </x:c>
    </x:row>
    <x:row r="49">
      <x:c r="A49" s="22"/>
      <x:c r="B49" s="22"/>
      <x:c r="C49" s="22"/>
      <x:c r="D49" s="22"/>
      <x:c r="E49" s="22"/>
      <x:c r="F49" s="22"/>
      <x:c r="G49" s="31"/>
      <x:c r="H49" s="31"/>
      <x:c r="I49" s="22"/>
      <x:c r="J49" s="22"/>
      <x:c r="K49" s="28" t="str">
        <x:f>IF(COUNTA(A49:J49)=0,"",IF(OR(A49="",B49="",C49="",D49="",E49="",F49="",I49=""),"不通过：缺少必填项",IF(COUNTIF($B$5:$B$104,B49)&gt;1,"不通过：编码重复",IF(COUNTIF($E$5:$E$104,E49)&gt;1,"不通过：UCUM编码重复","通过"))))</x:f>
      </x:c>
    </x:row>
    <x:row r="50">
      <x:c r="A50" s="22"/>
      <x:c r="B50" s="22"/>
      <x:c r="C50" s="22"/>
      <x:c r="D50" s="22"/>
      <x:c r="E50" s="22"/>
      <x:c r="F50" s="22"/>
      <x:c r="G50" s="31"/>
      <x:c r="H50" s="31"/>
      <x:c r="I50" s="22"/>
      <x:c r="J50" s="22"/>
      <x:c r="K50" s="28" t="str">
        <x:f>IF(COUNTA(A50:J50)=0,"",IF(OR(A50="",B50="",C50="",D50="",E50="",F50="",I50=""),"不通过：缺少必填项",IF(COUNTIF($B$5:$B$104,B50)&gt;1,"不通过：编码重复",IF(COUNTIF($E$5:$E$104,E50)&gt;1,"不通过：UCUM编码重复","通过"))))</x:f>
      </x:c>
    </x:row>
    <x:row r="51">
      <x:c r="A51" s="22"/>
      <x:c r="B51" s="22"/>
      <x:c r="C51" s="22"/>
      <x:c r="D51" s="22"/>
      <x:c r="E51" s="22"/>
      <x:c r="F51" s="22"/>
      <x:c r="G51" s="31"/>
      <x:c r="H51" s="31"/>
      <x:c r="I51" s="22"/>
      <x:c r="J51" s="22"/>
      <x:c r="K51" s="28" t="str">
        <x:f>IF(COUNTA(A51:J51)=0,"",IF(OR(A51="",B51="",C51="",D51="",E51="",F51="",I51=""),"不通过：缺少必填项",IF(COUNTIF($B$5:$B$104,B51)&gt;1,"不通过：编码重复",IF(COUNTIF($E$5:$E$104,E51)&gt;1,"不通过：UCUM编码重复","通过"))))</x:f>
      </x:c>
    </x:row>
    <x:row r="52">
      <x:c r="A52" s="22"/>
      <x:c r="B52" s="22"/>
      <x:c r="C52" s="22"/>
      <x:c r="D52" s="22"/>
      <x:c r="E52" s="22"/>
      <x:c r="F52" s="22"/>
      <x:c r="G52" s="31"/>
      <x:c r="H52" s="31"/>
      <x:c r="I52" s="22"/>
      <x:c r="J52" s="22"/>
      <x:c r="K52" s="28" t="str">
        <x:f>IF(COUNTA(A52:J52)=0,"",IF(OR(A52="",B52="",C52="",D52="",E52="",F52="",I52=""),"不通过：缺少必填项",IF(COUNTIF($B$5:$B$104,B52)&gt;1,"不通过：编码重复",IF(COUNTIF($E$5:$E$104,E52)&gt;1,"不通过：UCUM编码重复","通过"))))</x:f>
      </x:c>
    </x:row>
    <x:row r="53">
      <x:c r="A53" s="22"/>
      <x:c r="B53" s="22"/>
      <x:c r="C53" s="22"/>
      <x:c r="D53" s="22"/>
      <x:c r="E53" s="22"/>
      <x:c r="F53" s="22"/>
      <x:c r="G53" s="31"/>
      <x:c r="H53" s="31"/>
      <x:c r="I53" s="22"/>
      <x:c r="J53" s="22"/>
      <x:c r="K53" s="28" t="str">
        <x:f>IF(COUNTA(A53:J53)=0,"",IF(OR(A53="",B53="",C53="",D53="",E53="",F53="",I53=""),"不通过：缺少必填项",IF(COUNTIF($B$5:$B$104,B53)&gt;1,"不通过：编码重复",IF(COUNTIF($E$5:$E$104,E53)&gt;1,"不通过：UCUM编码重复","通过"))))</x:f>
      </x:c>
    </x:row>
    <x:row r="54">
      <x:c r="A54" s="22"/>
      <x:c r="B54" s="22"/>
      <x:c r="C54" s="22"/>
      <x:c r="D54" s="22"/>
      <x:c r="E54" s="22"/>
      <x:c r="F54" s="22"/>
      <x:c r="G54" s="31"/>
      <x:c r="H54" s="31"/>
      <x:c r="I54" s="22"/>
      <x:c r="J54" s="22"/>
      <x:c r="K54" s="28" t="str">
        <x:f>IF(COUNTA(A54:J54)=0,"",IF(OR(A54="",B54="",C54="",D54="",E54="",F54="",I54=""),"不通过：缺少必填项",IF(COUNTIF($B$5:$B$104,B54)&gt;1,"不通过：编码重复",IF(COUNTIF($E$5:$E$104,E54)&gt;1,"不通过：UCUM编码重复","通过"))))</x:f>
      </x:c>
    </x:row>
    <x:row r="55">
      <x:c r="A55" s="22"/>
      <x:c r="B55" s="22"/>
      <x:c r="C55" s="22"/>
      <x:c r="D55" s="22"/>
      <x:c r="E55" s="22"/>
      <x:c r="F55" s="22"/>
      <x:c r="G55" s="31"/>
      <x:c r="H55" s="31"/>
      <x:c r="I55" s="22"/>
      <x:c r="J55" s="22"/>
      <x:c r="K55" s="28" t="str">
        <x:f>IF(COUNTA(A55:J55)=0,"",IF(OR(A55="",B55="",C55="",D55="",E55="",F55="",I55=""),"不通过：缺少必填项",IF(COUNTIF($B$5:$B$104,B55)&gt;1,"不通过：编码重复",IF(COUNTIF($E$5:$E$104,E55)&gt;1,"不通过：UCUM编码重复","通过"))))</x:f>
      </x:c>
    </x:row>
    <x:row r="56">
      <x:c r="A56" s="22"/>
      <x:c r="B56" s="22"/>
      <x:c r="C56" s="22"/>
      <x:c r="D56" s="22"/>
      <x:c r="E56" s="22"/>
      <x:c r="F56" s="22"/>
      <x:c r="G56" s="31"/>
      <x:c r="H56" s="31"/>
      <x:c r="I56" s="22"/>
      <x:c r="J56" s="22"/>
      <x:c r="K56" s="28" t="str">
        <x:f>IF(COUNTA(A56:J56)=0,"",IF(OR(A56="",B56="",C56="",D56="",E56="",F56="",I56=""),"不通过：缺少必填项",IF(COUNTIF($B$5:$B$104,B56)&gt;1,"不通过：编码重复",IF(COUNTIF($E$5:$E$104,E56)&gt;1,"不通过：UCUM编码重复","通过"))))</x:f>
      </x:c>
    </x:row>
    <x:row r="57">
      <x:c r="A57" s="22"/>
      <x:c r="B57" s="22"/>
      <x:c r="C57" s="22"/>
      <x:c r="D57" s="22"/>
      <x:c r="E57" s="22"/>
      <x:c r="F57" s="22"/>
      <x:c r="G57" s="31"/>
      <x:c r="H57" s="31"/>
      <x:c r="I57" s="22"/>
      <x:c r="J57" s="22"/>
      <x:c r="K57" s="28" t="str">
        <x:f>IF(COUNTA(A57:J57)=0,"",IF(OR(A57="",B57="",C57="",D57="",E57="",F57="",I57=""),"不通过：缺少必填项",IF(COUNTIF($B$5:$B$104,B57)&gt;1,"不通过：编码重复",IF(COUNTIF($E$5:$E$104,E57)&gt;1,"不通过：UCUM编码重复","通过"))))</x:f>
      </x:c>
    </x:row>
    <x:row r="58">
      <x:c r="A58" s="22"/>
      <x:c r="B58" s="22"/>
      <x:c r="C58" s="22"/>
      <x:c r="D58" s="22"/>
      <x:c r="E58" s="22"/>
      <x:c r="F58" s="22"/>
      <x:c r="G58" s="31"/>
      <x:c r="H58" s="31"/>
      <x:c r="I58" s="22"/>
      <x:c r="J58" s="22"/>
      <x:c r="K58" s="28" t="str">
        <x:f>IF(COUNTA(A58:J58)=0,"",IF(OR(A58="",B58="",C58="",D58="",E58="",F58="",I58=""),"不通过：缺少必填项",IF(COUNTIF($B$5:$B$104,B58)&gt;1,"不通过：编码重复",IF(COUNTIF($E$5:$E$104,E58)&gt;1,"不通过：UCUM编码重复","通过"))))</x:f>
      </x:c>
    </x:row>
    <x:row r="59">
      <x:c r="A59" s="22"/>
      <x:c r="B59" s="22"/>
      <x:c r="C59" s="22"/>
      <x:c r="D59" s="22"/>
      <x:c r="E59" s="22"/>
      <x:c r="F59" s="22"/>
      <x:c r="G59" s="31"/>
      <x:c r="H59" s="31"/>
      <x:c r="I59" s="22"/>
      <x:c r="J59" s="22"/>
      <x:c r="K59" s="28" t="str">
        <x:f>IF(COUNTA(A59:J59)=0,"",IF(OR(A59="",B59="",C59="",D59="",E59="",F59="",I59=""),"不通过：缺少必填项",IF(COUNTIF($B$5:$B$104,B59)&gt;1,"不通过：编码重复",IF(COUNTIF($E$5:$E$104,E59)&gt;1,"不通过：UCUM编码重复","通过"))))</x:f>
      </x:c>
    </x:row>
    <x:row r="60">
      <x:c r="A60" s="22"/>
      <x:c r="B60" s="22"/>
      <x:c r="C60" s="22"/>
      <x:c r="D60" s="22"/>
      <x:c r="E60" s="22"/>
      <x:c r="F60" s="22"/>
      <x:c r="G60" s="31"/>
      <x:c r="H60" s="31"/>
      <x:c r="I60" s="22"/>
      <x:c r="J60" s="22"/>
      <x:c r="K60" s="28" t="str">
        <x:f>IF(COUNTA(A60:J60)=0,"",IF(OR(A60="",B60="",C60="",D60="",E60="",F60="",I60=""),"不通过：缺少必填项",IF(COUNTIF($B$5:$B$104,B60)&gt;1,"不通过：编码重复",IF(COUNTIF($E$5:$E$104,E60)&gt;1,"不通过：UCUM编码重复","通过"))))</x:f>
      </x:c>
    </x:row>
    <x:row r="61">
      <x:c r="A61" s="22"/>
      <x:c r="B61" s="22"/>
      <x:c r="C61" s="22"/>
      <x:c r="D61" s="22"/>
      <x:c r="E61" s="22"/>
      <x:c r="F61" s="22"/>
      <x:c r="G61" s="31"/>
      <x:c r="H61" s="31"/>
      <x:c r="I61" s="22"/>
      <x:c r="J61" s="22"/>
      <x:c r="K61" s="28" t="str">
        <x:f>IF(COUNTA(A61:J61)=0,"",IF(OR(A61="",B61="",C61="",D61="",E61="",F61="",I61=""),"不通过：缺少必填项",IF(COUNTIF($B$5:$B$104,B61)&gt;1,"不通过：编码重复",IF(COUNTIF($E$5:$E$104,E61)&gt;1,"不通过：UCUM编码重复","通过"))))</x:f>
      </x:c>
    </x:row>
    <x:row r="62">
      <x:c r="A62" s="22"/>
      <x:c r="B62" s="22"/>
      <x:c r="C62" s="22"/>
      <x:c r="D62" s="22"/>
      <x:c r="E62" s="22"/>
      <x:c r="F62" s="22"/>
      <x:c r="G62" s="31"/>
      <x:c r="H62" s="31"/>
      <x:c r="I62" s="22"/>
      <x:c r="J62" s="22"/>
      <x:c r="K62" s="28" t="str">
        <x:f>IF(COUNTA(A62:J62)=0,"",IF(OR(A62="",B62="",C62="",D62="",E62="",F62="",I62=""),"不通过：缺少必填项",IF(COUNTIF($B$5:$B$104,B62)&gt;1,"不通过：编码重复",IF(COUNTIF($E$5:$E$104,E62)&gt;1,"不通过：UCUM编码重复","通过"))))</x:f>
      </x:c>
    </x:row>
    <x:row r="63">
      <x:c r="A63" s="22"/>
      <x:c r="B63" s="22"/>
      <x:c r="C63" s="22"/>
      <x:c r="D63" s="22"/>
      <x:c r="E63" s="22"/>
      <x:c r="F63" s="22"/>
      <x:c r="G63" s="31"/>
      <x:c r="H63" s="31"/>
      <x:c r="I63" s="22"/>
      <x:c r="J63" s="22"/>
      <x:c r="K63" s="28" t="str">
        <x:f>IF(COUNTA(A63:J63)=0,"",IF(OR(A63="",B63="",C63="",D63="",E63="",F63="",I63=""),"不通过：缺少必填项",IF(COUNTIF($B$5:$B$104,B63)&gt;1,"不通过：编码重复",IF(COUNTIF($E$5:$E$104,E63)&gt;1,"不通过：UCUM编码重复","通过"))))</x:f>
      </x:c>
    </x:row>
    <x:row r="64">
      <x:c r="A64" s="22"/>
      <x:c r="B64" s="22"/>
      <x:c r="C64" s="22"/>
      <x:c r="D64" s="22"/>
      <x:c r="E64" s="22"/>
      <x:c r="F64" s="22"/>
      <x:c r="G64" s="31"/>
      <x:c r="H64" s="31"/>
      <x:c r="I64" s="22"/>
      <x:c r="J64" s="22"/>
      <x:c r="K64" s="28" t="str">
        <x:f>IF(COUNTA(A64:J64)=0,"",IF(OR(A64="",B64="",C64="",D64="",E64="",F64="",I64=""),"不通过：缺少必填项",IF(COUNTIF($B$5:$B$104,B64)&gt;1,"不通过：编码重复",IF(COUNTIF($E$5:$E$104,E64)&gt;1,"不通过：UCUM编码重复","通过"))))</x:f>
      </x:c>
    </x:row>
    <x:row r="65">
      <x:c r="A65" s="22"/>
      <x:c r="B65" s="22"/>
      <x:c r="C65" s="22"/>
      <x:c r="D65" s="22"/>
      <x:c r="E65" s="22"/>
      <x:c r="F65" s="22"/>
      <x:c r="G65" s="31"/>
      <x:c r="H65" s="31"/>
      <x:c r="I65" s="22"/>
      <x:c r="J65" s="22"/>
      <x:c r="K65" s="28" t="str">
        <x:f>IF(COUNTA(A65:J65)=0,"",IF(OR(A65="",B65="",C65="",D65="",E65="",F65="",I65=""),"不通过：缺少必填项",IF(COUNTIF($B$5:$B$104,B65)&gt;1,"不通过：编码重复",IF(COUNTIF($E$5:$E$104,E65)&gt;1,"不通过：UCUM编码重复","通过"))))</x:f>
      </x:c>
    </x:row>
    <x:row r="66">
      <x:c r="A66" s="22"/>
      <x:c r="B66" s="22"/>
      <x:c r="C66" s="22"/>
      <x:c r="D66" s="22"/>
      <x:c r="E66" s="22"/>
      <x:c r="F66" s="22"/>
      <x:c r="G66" s="31"/>
      <x:c r="H66" s="31"/>
      <x:c r="I66" s="22"/>
      <x:c r="J66" s="22"/>
      <x:c r="K66" s="28" t="str">
        <x:f>IF(COUNTA(A66:J66)=0,"",IF(OR(A66="",B66="",C66="",D66="",E66="",F66="",I66=""),"不通过：缺少必填项",IF(COUNTIF($B$5:$B$104,B66)&gt;1,"不通过：编码重复",IF(COUNTIF($E$5:$E$104,E66)&gt;1,"不通过：UCUM编码重复","通过"))))</x:f>
      </x:c>
    </x:row>
    <x:row r="67">
      <x:c r="A67" s="22"/>
      <x:c r="B67" s="22"/>
      <x:c r="C67" s="22"/>
      <x:c r="D67" s="22"/>
      <x:c r="E67" s="22"/>
      <x:c r="F67" s="22"/>
      <x:c r="G67" s="31"/>
      <x:c r="H67" s="31"/>
      <x:c r="I67" s="22"/>
      <x:c r="J67" s="22"/>
      <x:c r="K67" s="28" t="str">
        <x:f>IF(COUNTA(A67:J67)=0,"",IF(OR(A67="",B67="",C67="",D67="",E67="",F67="",I67=""),"不通过：缺少必填项",IF(COUNTIF($B$5:$B$104,B67)&gt;1,"不通过：编码重复",IF(COUNTIF($E$5:$E$104,E67)&gt;1,"不通过：UCUM编码重复","通过"))))</x:f>
      </x:c>
    </x:row>
    <x:row r="68">
      <x:c r="A68" s="22"/>
      <x:c r="B68" s="22"/>
      <x:c r="C68" s="22"/>
      <x:c r="D68" s="22"/>
      <x:c r="E68" s="22"/>
      <x:c r="F68" s="22"/>
      <x:c r="G68" s="31"/>
      <x:c r="H68" s="31"/>
      <x:c r="I68" s="22"/>
      <x:c r="J68" s="22"/>
      <x:c r="K68" s="28" t="str">
        <x:f>IF(COUNTA(A68:J68)=0,"",IF(OR(A68="",B68="",C68="",D68="",E68="",F68="",I68=""),"不通过：缺少必填项",IF(COUNTIF($B$5:$B$104,B68)&gt;1,"不通过：编码重复",IF(COUNTIF($E$5:$E$104,E68)&gt;1,"不通过：UCUM编码重复","通过"))))</x:f>
      </x:c>
    </x:row>
    <x:row r="69">
      <x:c r="A69" s="22"/>
      <x:c r="B69" s="22"/>
      <x:c r="C69" s="22"/>
      <x:c r="D69" s="22"/>
      <x:c r="E69" s="22"/>
      <x:c r="F69" s="22"/>
      <x:c r="G69" s="31"/>
      <x:c r="H69" s="31"/>
      <x:c r="I69" s="22"/>
      <x:c r="J69" s="22"/>
      <x:c r="K69" s="28" t="str">
        <x:f>IF(COUNTA(A69:J69)=0,"",IF(OR(A69="",B69="",C69="",D69="",E69="",F69="",I69=""),"不通过：缺少必填项",IF(COUNTIF($B$5:$B$104,B69)&gt;1,"不通过：编码重复",IF(COUNTIF($E$5:$E$104,E69)&gt;1,"不通过：UCUM编码重复","通过"))))</x:f>
      </x:c>
    </x:row>
    <x:row r="70">
      <x:c r="A70" s="22"/>
      <x:c r="B70" s="22"/>
      <x:c r="C70" s="22"/>
      <x:c r="D70" s="22"/>
      <x:c r="E70" s="22"/>
      <x:c r="F70" s="22"/>
      <x:c r="G70" s="31"/>
      <x:c r="H70" s="31"/>
      <x:c r="I70" s="22"/>
      <x:c r="J70" s="22"/>
      <x:c r="K70" s="28" t="str">
        <x:f>IF(COUNTA(A70:J70)=0,"",IF(OR(A70="",B70="",C70="",D70="",E70="",F70="",I70=""),"不通过：缺少必填项",IF(COUNTIF($B$5:$B$104,B70)&gt;1,"不通过：编码重复",IF(COUNTIF($E$5:$E$104,E70)&gt;1,"不通过：UCUM编码重复","通过"))))</x:f>
      </x:c>
    </x:row>
    <x:row r="71">
      <x:c r="A71" s="22"/>
      <x:c r="B71" s="22"/>
      <x:c r="C71" s="22"/>
      <x:c r="D71" s="22"/>
      <x:c r="E71" s="22"/>
      <x:c r="F71" s="22"/>
      <x:c r="G71" s="31"/>
      <x:c r="H71" s="31"/>
      <x:c r="I71" s="22"/>
      <x:c r="J71" s="22"/>
      <x:c r="K71" s="28" t="str">
        <x:f>IF(COUNTA(A71:J71)=0,"",IF(OR(A71="",B71="",C71="",D71="",E71="",F71="",I71=""),"不通过：缺少必填项",IF(COUNTIF($B$5:$B$104,B71)&gt;1,"不通过：编码重复",IF(COUNTIF($E$5:$E$104,E71)&gt;1,"不通过：UCUM编码重复","通过"))))</x:f>
      </x:c>
    </x:row>
    <x:row r="72">
      <x:c r="A72" s="22"/>
      <x:c r="B72" s="22"/>
      <x:c r="C72" s="22"/>
      <x:c r="D72" s="22"/>
      <x:c r="E72" s="22"/>
      <x:c r="F72" s="22"/>
      <x:c r="G72" s="31"/>
      <x:c r="H72" s="31"/>
      <x:c r="I72" s="22"/>
      <x:c r="J72" s="22"/>
      <x:c r="K72" s="28" t="str">
        <x:f>IF(COUNTA(A72:J72)=0,"",IF(OR(A72="",B72="",C72="",D72="",E72="",F72="",I72=""),"不通过：缺少必填项",IF(COUNTIF($B$5:$B$104,B72)&gt;1,"不通过：编码重复",IF(COUNTIF($E$5:$E$104,E72)&gt;1,"不通过：UCUM编码重复","通过"))))</x:f>
      </x:c>
    </x:row>
    <x:row r="73">
      <x:c r="A73" s="22"/>
      <x:c r="B73" s="22"/>
      <x:c r="C73" s="22"/>
      <x:c r="D73" s="22"/>
      <x:c r="E73" s="22"/>
      <x:c r="F73" s="22"/>
      <x:c r="G73" s="31"/>
      <x:c r="H73" s="31"/>
      <x:c r="I73" s="22"/>
      <x:c r="J73" s="22"/>
      <x:c r="K73" s="28" t="str">
        <x:f>IF(COUNTA(A73:J73)=0,"",IF(OR(A73="",B73="",C73="",D73="",E73="",F73="",I73=""),"不通过：缺少必填项",IF(COUNTIF($B$5:$B$104,B73)&gt;1,"不通过：编码重复",IF(COUNTIF($E$5:$E$104,E73)&gt;1,"不通过：UCUM编码重复","通过"))))</x:f>
      </x:c>
    </x:row>
    <x:row r="74">
      <x:c r="A74" s="22"/>
      <x:c r="B74" s="22"/>
      <x:c r="C74" s="22"/>
      <x:c r="D74" s="22"/>
      <x:c r="E74" s="22"/>
      <x:c r="F74" s="22"/>
      <x:c r="G74" s="31"/>
      <x:c r="H74" s="31"/>
      <x:c r="I74" s="22"/>
      <x:c r="J74" s="22"/>
      <x:c r="K74" s="28" t="str">
        <x:f>IF(COUNTA(A74:J74)=0,"",IF(OR(A74="",B74="",C74="",D74="",E74="",F74="",I74=""),"不通过：缺少必填项",IF(COUNTIF($B$5:$B$104,B74)&gt;1,"不通过：编码重复",IF(COUNTIF($E$5:$E$104,E74)&gt;1,"不通过：UCUM编码重复","通过"))))</x:f>
      </x:c>
    </x:row>
    <x:row r="75">
      <x:c r="A75" s="22"/>
      <x:c r="B75" s="22"/>
      <x:c r="C75" s="22"/>
      <x:c r="D75" s="22"/>
      <x:c r="E75" s="22"/>
      <x:c r="F75" s="22"/>
      <x:c r="G75" s="31"/>
      <x:c r="H75" s="31"/>
      <x:c r="I75" s="22"/>
      <x:c r="J75" s="22"/>
      <x:c r="K75" s="28" t="str">
        <x:f>IF(COUNTA(A75:J75)=0,"",IF(OR(A75="",B75="",C75="",D75="",E75="",F75="",I75=""),"不通过：缺少必填项",IF(COUNTIF($B$5:$B$104,B75)&gt;1,"不通过：编码重复",IF(COUNTIF($E$5:$E$104,E75)&gt;1,"不通过：UCUM编码重复","通过"))))</x:f>
      </x:c>
    </x:row>
    <x:row r="76">
      <x:c r="A76" s="22"/>
      <x:c r="B76" s="22"/>
      <x:c r="C76" s="22"/>
      <x:c r="D76" s="22"/>
      <x:c r="E76" s="22"/>
      <x:c r="F76" s="22"/>
      <x:c r="G76" s="31"/>
      <x:c r="H76" s="31"/>
      <x:c r="I76" s="22"/>
      <x:c r="J76" s="22"/>
      <x:c r="K76" s="28" t="str">
        <x:f>IF(COUNTA(A76:J76)=0,"",IF(OR(A76="",B76="",C76="",D76="",E76="",F76="",I76=""),"不通过：缺少必填项",IF(COUNTIF($B$5:$B$104,B76)&gt;1,"不通过：编码重复",IF(COUNTIF($E$5:$E$104,E76)&gt;1,"不通过：UCUM编码重复","通过"))))</x:f>
      </x:c>
    </x:row>
    <x:row r="77">
      <x:c r="A77" s="22"/>
      <x:c r="B77" s="22"/>
      <x:c r="C77" s="22"/>
      <x:c r="D77" s="22"/>
      <x:c r="E77" s="22"/>
      <x:c r="F77" s="22"/>
      <x:c r="G77" s="31"/>
      <x:c r="H77" s="31"/>
      <x:c r="I77" s="22"/>
      <x:c r="J77" s="22"/>
      <x:c r="K77" s="28" t="str">
        <x:f>IF(COUNTA(A77:J77)=0,"",IF(OR(A77="",B77="",C77="",D77="",E77="",F77="",I77=""),"不通过：缺少必填项",IF(COUNTIF($B$5:$B$104,B77)&gt;1,"不通过：编码重复",IF(COUNTIF($E$5:$E$104,E77)&gt;1,"不通过：UCUM编码重复","通过"))))</x:f>
      </x:c>
    </x:row>
    <x:row r="78">
      <x:c r="A78" s="22"/>
      <x:c r="B78" s="22"/>
      <x:c r="C78" s="22"/>
      <x:c r="D78" s="22"/>
      <x:c r="E78" s="22"/>
      <x:c r="F78" s="22"/>
      <x:c r="G78" s="31"/>
      <x:c r="H78" s="31"/>
      <x:c r="I78" s="22"/>
      <x:c r="J78" s="22"/>
      <x:c r="K78" s="28" t="str">
        <x:f>IF(COUNTA(A78:J78)=0,"",IF(OR(A78="",B78="",C78="",D78="",E78="",F78="",I78=""),"不通过：缺少必填项",IF(COUNTIF($B$5:$B$104,B78)&gt;1,"不通过：编码重复",IF(COUNTIF($E$5:$E$104,E78)&gt;1,"不通过：UCUM编码重复","通过"))))</x:f>
      </x:c>
    </x:row>
    <x:row r="79">
      <x:c r="A79" s="22"/>
      <x:c r="B79" s="22"/>
      <x:c r="C79" s="22"/>
      <x:c r="D79" s="22"/>
      <x:c r="E79" s="22"/>
      <x:c r="F79" s="22"/>
      <x:c r="G79" s="31"/>
      <x:c r="H79" s="31"/>
      <x:c r="I79" s="22"/>
      <x:c r="J79" s="22"/>
      <x:c r="K79" s="28" t="str">
        <x:f>IF(COUNTA(A79:J79)=0,"",IF(OR(A79="",B79="",C79="",D79="",E79="",F79="",I79=""),"不通过：缺少必填项",IF(COUNTIF($B$5:$B$104,B79)&gt;1,"不通过：编码重复",IF(COUNTIF($E$5:$E$104,E79)&gt;1,"不通过：UCUM编码重复","通过"))))</x:f>
      </x:c>
    </x:row>
    <x:row r="80">
      <x:c r="A80" s="22"/>
      <x:c r="B80" s="22"/>
      <x:c r="C80" s="22"/>
      <x:c r="D80" s="22"/>
      <x:c r="E80" s="22"/>
      <x:c r="F80" s="22"/>
      <x:c r="G80" s="31"/>
      <x:c r="H80" s="31"/>
      <x:c r="I80" s="22"/>
      <x:c r="J80" s="22"/>
      <x:c r="K80" s="28" t="str">
        <x:f>IF(COUNTA(A80:J80)=0,"",IF(OR(A80="",B80="",C80="",D80="",E80="",F80="",I80=""),"不通过：缺少必填项",IF(COUNTIF($B$5:$B$104,B80)&gt;1,"不通过：编码重复",IF(COUNTIF($E$5:$E$104,E80)&gt;1,"不通过：UCUM编码重复","通过"))))</x:f>
      </x:c>
    </x:row>
    <x:row r="81">
      <x:c r="A81" s="22"/>
      <x:c r="B81" s="22"/>
      <x:c r="C81" s="22"/>
      <x:c r="D81" s="22"/>
      <x:c r="E81" s="22"/>
      <x:c r="F81" s="22"/>
      <x:c r="G81" s="31"/>
      <x:c r="H81" s="31"/>
      <x:c r="I81" s="22"/>
      <x:c r="J81" s="22"/>
      <x:c r="K81" s="28" t="str">
        <x:f>IF(COUNTA(A81:J81)=0,"",IF(OR(A81="",B81="",C81="",D81="",E81="",F81="",I81=""),"不通过：缺少必填项",IF(COUNTIF($B$5:$B$104,B81)&gt;1,"不通过：编码重复",IF(COUNTIF($E$5:$E$104,E81)&gt;1,"不通过：UCUM编码重复","通过"))))</x:f>
      </x:c>
    </x:row>
    <x:row r="82">
      <x:c r="A82" s="22"/>
      <x:c r="B82" s="22"/>
      <x:c r="C82" s="22"/>
      <x:c r="D82" s="22"/>
      <x:c r="E82" s="22"/>
      <x:c r="F82" s="22"/>
      <x:c r="G82" s="31"/>
      <x:c r="H82" s="31"/>
      <x:c r="I82" s="22"/>
      <x:c r="J82" s="22"/>
      <x:c r="K82" s="28" t="str">
        <x:f>IF(COUNTA(A82:J82)=0,"",IF(OR(A82="",B82="",C82="",D82="",E82="",F82="",I82=""),"不通过：缺少必填项",IF(COUNTIF($B$5:$B$104,B82)&gt;1,"不通过：编码重复",IF(COUNTIF($E$5:$E$104,E82)&gt;1,"不通过：UCUM编码重复","通过"))))</x:f>
      </x:c>
    </x:row>
    <x:row r="83">
      <x:c r="A83" s="22"/>
      <x:c r="B83" s="22"/>
      <x:c r="C83" s="22"/>
      <x:c r="D83" s="22"/>
      <x:c r="E83" s="22"/>
      <x:c r="F83" s="22"/>
      <x:c r="G83" s="31"/>
      <x:c r="H83" s="31"/>
      <x:c r="I83" s="22"/>
      <x:c r="J83" s="22"/>
      <x:c r="K83" s="28" t="str">
        <x:f>IF(COUNTA(A83:J83)=0,"",IF(OR(A83="",B83="",C83="",D83="",E83="",F83="",I83=""),"不通过：缺少必填项",IF(COUNTIF($B$5:$B$104,B83)&gt;1,"不通过：编码重复",IF(COUNTIF($E$5:$E$104,E83)&gt;1,"不通过：UCUM编码重复","通过"))))</x:f>
      </x:c>
    </x:row>
    <x:row r="84">
      <x:c r="A84" s="22"/>
      <x:c r="B84" s="22"/>
      <x:c r="C84" s="22"/>
      <x:c r="D84" s="22"/>
      <x:c r="E84" s="22"/>
      <x:c r="F84" s="22"/>
      <x:c r="G84" s="31"/>
      <x:c r="H84" s="31"/>
      <x:c r="I84" s="22"/>
      <x:c r="J84" s="22"/>
      <x:c r="K84" s="28" t="str">
        <x:f>IF(COUNTA(A84:J84)=0,"",IF(OR(A84="",B84="",C84="",D84="",E84="",F84="",I84=""),"不通过：缺少必填项",IF(COUNTIF($B$5:$B$104,B84)&gt;1,"不通过：编码重复",IF(COUNTIF($E$5:$E$104,E84)&gt;1,"不通过：UCUM编码重复","通过"))))</x:f>
      </x:c>
    </x:row>
    <x:row r="85">
      <x:c r="A85" s="22"/>
      <x:c r="B85" s="22"/>
      <x:c r="C85" s="22"/>
      <x:c r="D85" s="22"/>
      <x:c r="E85" s="22"/>
      <x:c r="F85" s="22"/>
      <x:c r="G85" s="31"/>
      <x:c r="H85" s="31"/>
      <x:c r="I85" s="22"/>
      <x:c r="J85" s="22"/>
      <x:c r="K85" s="28" t="str">
        <x:f>IF(COUNTA(A85:J85)=0,"",IF(OR(A85="",B85="",C85="",D85="",E85="",F85="",I85=""),"不通过：缺少必填项",IF(COUNTIF($B$5:$B$104,B85)&gt;1,"不通过：编码重复",IF(COUNTIF($E$5:$E$104,E85)&gt;1,"不通过：UCUM编码重复","通过"))))</x:f>
      </x:c>
    </x:row>
    <x:row r="86">
      <x:c r="A86" s="22"/>
      <x:c r="B86" s="22"/>
      <x:c r="C86" s="22"/>
      <x:c r="D86" s="22"/>
      <x:c r="E86" s="22"/>
      <x:c r="F86" s="22"/>
      <x:c r="G86" s="31"/>
      <x:c r="H86" s="31"/>
      <x:c r="I86" s="22"/>
      <x:c r="J86" s="22"/>
      <x:c r="K86" s="28" t="str">
        <x:f>IF(COUNTA(A86:J86)=0,"",IF(OR(A86="",B86="",C86="",D86="",E86="",F86="",I86=""),"不通过：缺少必填项",IF(COUNTIF($B$5:$B$104,B86)&gt;1,"不通过：编码重复",IF(COUNTIF($E$5:$E$104,E86)&gt;1,"不通过：UCUM编码重复","通过"))))</x:f>
      </x:c>
    </x:row>
    <x:row r="87">
      <x:c r="A87" s="22"/>
      <x:c r="B87" s="22"/>
      <x:c r="C87" s="22"/>
      <x:c r="D87" s="22"/>
      <x:c r="E87" s="22"/>
      <x:c r="F87" s="22"/>
      <x:c r="G87" s="31"/>
      <x:c r="H87" s="31"/>
      <x:c r="I87" s="22"/>
      <x:c r="J87" s="22"/>
      <x:c r="K87" s="28" t="str">
        <x:f>IF(COUNTA(A87:J87)=0,"",IF(OR(A87="",B87="",C87="",D87="",E87="",F87="",I87=""),"不通过：缺少必填项",IF(COUNTIF($B$5:$B$104,B87)&gt;1,"不通过：编码重复",IF(COUNTIF($E$5:$E$104,E87)&gt;1,"不通过：UCUM编码重复","通过"))))</x:f>
      </x:c>
    </x:row>
    <x:row r="88">
      <x:c r="A88" s="22"/>
      <x:c r="B88" s="22"/>
      <x:c r="C88" s="22"/>
      <x:c r="D88" s="22"/>
      <x:c r="E88" s="22"/>
      <x:c r="F88" s="22"/>
      <x:c r="G88" s="31"/>
      <x:c r="H88" s="31"/>
      <x:c r="I88" s="22"/>
      <x:c r="J88" s="22"/>
      <x:c r="K88" s="28" t="str">
        <x:f>IF(COUNTA(A88:J88)=0,"",IF(OR(A88="",B88="",C88="",D88="",E88="",F88="",I88=""),"不通过：缺少必填项",IF(COUNTIF($B$5:$B$104,B88)&gt;1,"不通过：编码重复",IF(COUNTIF($E$5:$E$104,E88)&gt;1,"不通过：UCUM编码重复","通过"))))</x:f>
      </x:c>
    </x:row>
    <x:row r="89">
      <x:c r="A89" s="22"/>
      <x:c r="B89" s="22"/>
      <x:c r="C89" s="22"/>
      <x:c r="D89" s="22"/>
      <x:c r="E89" s="22"/>
      <x:c r="F89" s="22"/>
      <x:c r="G89" s="31"/>
      <x:c r="H89" s="31"/>
      <x:c r="I89" s="22"/>
      <x:c r="J89" s="22"/>
      <x:c r="K89" s="28" t="str">
        <x:f>IF(COUNTA(A89:J89)=0,"",IF(OR(A89="",B89="",C89="",D89="",E89="",F89="",I89=""),"不通过：缺少必填项",IF(COUNTIF($B$5:$B$104,B89)&gt;1,"不通过：编码重复",IF(COUNTIF($E$5:$E$104,E89)&gt;1,"不通过：UCUM编码重复","通过"))))</x:f>
      </x:c>
    </x:row>
    <x:row r="90">
      <x:c r="A90" s="22"/>
      <x:c r="B90" s="22"/>
      <x:c r="C90" s="22"/>
      <x:c r="D90" s="22"/>
      <x:c r="E90" s="22"/>
      <x:c r="F90" s="22"/>
      <x:c r="G90" s="31"/>
      <x:c r="H90" s="31"/>
      <x:c r="I90" s="22"/>
      <x:c r="J90" s="22"/>
      <x:c r="K90" s="28" t="str">
        <x:f>IF(COUNTA(A90:J90)=0,"",IF(OR(A90="",B90="",C90="",D90="",E90="",F90="",I90=""),"不通过：缺少必填项",IF(COUNTIF($B$5:$B$104,B90)&gt;1,"不通过：编码重复",IF(COUNTIF($E$5:$E$104,E90)&gt;1,"不通过：UCUM编码重复","通过"))))</x:f>
      </x:c>
    </x:row>
    <x:row r="91">
      <x:c r="A91" s="22"/>
      <x:c r="B91" s="22"/>
      <x:c r="C91" s="22"/>
      <x:c r="D91" s="22"/>
      <x:c r="E91" s="22"/>
      <x:c r="F91" s="22"/>
      <x:c r="G91" s="31"/>
      <x:c r="H91" s="31"/>
      <x:c r="I91" s="22"/>
      <x:c r="J91" s="22"/>
      <x:c r="K91" s="28" t="str">
        <x:f>IF(COUNTA(A91:J91)=0,"",IF(OR(A91="",B91="",C91="",D91="",E91="",F91="",I91=""),"不通过：缺少必填项",IF(COUNTIF($B$5:$B$104,B91)&gt;1,"不通过：编码重复",IF(COUNTIF($E$5:$E$104,E91)&gt;1,"不通过：UCUM编码重复","通过"))))</x:f>
      </x:c>
    </x:row>
    <x:row r="92">
      <x:c r="A92" s="22"/>
      <x:c r="B92" s="22"/>
      <x:c r="C92" s="22"/>
      <x:c r="D92" s="22"/>
      <x:c r="E92" s="22"/>
      <x:c r="F92" s="22"/>
      <x:c r="G92" s="31"/>
      <x:c r="H92" s="31"/>
      <x:c r="I92" s="22"/>
      <x:c r="J92" s="22"/>
      <x:c r="K92" s="28" t="str">
        <x:f>IF(COUNTA(A92:J92)=0,"",IF(OR(A92="",B92="",C92="",D92="",E92="",F92="",I92=""),"不通过：缺少必填项",IF(COUNTIF($B$5:$B$104,B92)&gt;1,"不通过：编码重复",IF(COUNTIF($E$5:$E$104,E92)&gt;1,"不通过：UCUM编码重复","通过"))))</x:f>
      </x:c>
    </x:row>
    <x:row r="93">
      <x:c r="A93" s="22"/>
      <x:c r="B93" s="22"/>
      <x:c r="C93" s="22"/>
      <x:c r="D93" s="22"/>
      <x:c r="E93" s="22"/>
      <x:c r="F93" s="22"/>
      <x:c r="G93" s="31"/>
      <x:c r="H93" s="31"/>
      <x:c r="I93" s="22"/>
      <x:c r="J93" s="22"/>
      <x:c r="K93" s="28" t="str">
        <x:f>IF(COUNTA(A93:J93)=0,"",IF(OR(A93="",B93="",C93="",D93="",E93="",F93="",I93=""),"不通过：缺少必填项",IF(COUNTIF($B$5:$B$104,B93)&gt;1,"不通过：编码重复",IF(COUNTIF($E$5:$E$104,E93)&gt;1,"不通过：UCUM编码重复","通过"))))</x:f>
      </x:c>
    </x:row>
    <x:row r="94">
      <x:c r="A94" s="22"/>
      <x:c r="B94" s="22"/>
      <x:c r="C94" s="22"/>
      <x:c r="D94" s="22"/>
      <x:c r="E94" s="22"/>
      <x:c r="F94" s="22"/>
      <x:c r="G94" s="31"/>
      <x:c r="H94" s="31"/>
      <x:c r="I94" s="22"/>
      <x:c r="J94" s="22"/>
      <x:c r="K94" s="28" t="str">
        <x:f>IF(COUNTA(A94:J94)=0,"",IF(OR(A94="",B94="",C94="",D94="",E94="",F94="",I94=""),"不通过：缺少必填项",IF(COUNTIF($B$5:$B$104,B94)&gt;1,"不通过：编码重复",IF(COUNTIF($E$5:$E$104,E94)&gt;1,"不通过：UCUM编码重复","通过"))))</x:f>
      </x:c>
    </x:row>
    <x:row r="95">
      <x:c r="A95" s="22"/>
      <x:c r="B95" s="22"/>
      <x:c r="C95" s="22"/>
      <x:c r="D95" s="22"/>
      <x:c r="E95" s="22"/>
      <x:c r="F95" s="22"/>
      <x:c r="G95" s="31"/>
      <x:c r="H95" s="31"/>
      <x:c r="I95" s="22"/>
      <x:c r="J95" s="22"/>
      <x:c r="K95" s="28" t="str">
        <x:f>IF(COUNTA(A95:J95)=0,"",IF(OR(A95="",B95="",C95="",D95="",E95="",F95="",I95=""),"不通过：缺少必填项",IF(COUNTIF($B$5:$B$104,B95)&gt;1,"不通过：编码重复",IF(COUNTIF($E$5:$E$104,E95)&gt;1,"不通过：UCUM编码重复","通过"))))</x:f>
      </x:c>
    </x:row>
    <x:row r="96">
      <x:c r="A96" s="22"/>
      <x:c r="B96" s="22"/>
      <x:c r="C96" s="22"/>
      <x:c r="D96" s="22"/>
      <x:c r="E96" s="22"/>
      <x:c r="F96" s="22"/>
      <x:c r="G96" s="31"/>
      <x:c r="H96" s="31"/>
      <x:c r="I96" s="22"/>
      <x:c r="J96" s="22"/>
      <x:c r="K96" s="28" t="str">
        <x:f>IF(COUNTA(A96:J96)=0,"",IF(OR(A96="",B96="",C96="",D96="",E96="",F96="",I96=""),"不通过：缺少必填项",IF(COUNTIF($B$5:$B$104,B96)&gt;1,"不通过：编码重复",IF(COUNTIF($E$5:$E$104,E96)&gt;1,"不通过：UCUM编码重复","通过"))))</x:f>
      </x:c>
    </x:row>
    <x:row r="97">
      <x:c r="A97" s="22"/>
      <x:c r="B97" s="22"/>
      <x:c r="C97" s="22"/>
      <x:c r="D97" s="22"/>
      <x:c r="E97" s="22"/>
      <x:c r="F97" s="22"/>
      <x:c r="G97" s="31"/>
      <x:c r="H97" s="31"/>
      <x:c r="I97" s="22"/>
      <x:c r="J97" s="22"/>
      <x:c r="K97" s="28" t="str">
        <x:f>IF(COUNTA(A97:J97)=0,"",IF(OR(A97="",B97="",C97="",D97="",E97="",F97="",I97=""),"不通过：缺少必填项",IF(COUNTIF($B$5:$B$104,B97)&gt;1,"不通过：编码重复",IF(COUNTIF($E$5:$E$104,E97)&gt;1,"不通过：UCUM编码重复","通过"))))</x:f>
      </x:c>
    </x:row>
    <x:row r="98">
      <x:c r="A98" s="22"/>
      <x:c r="B98" s="22"/>
      <x:c r="C98" s="22"/>
      <x:c r="D98" s="22"/>
      <x:c r="E98" s="22"/>
      <x:c r="F98" s="22"/>
      <x:c r="G98" s="31"/>
      <x:c r="H98" s="31"/>
      <x:c r="I98" s="22"/>
      <x:c r="J98" s="22"/>
      <x:c r="K98" s="28" t="str">
        <x:f>IF(COUNTA(A98:J98)=0,"",IF(OR(A98="",B98="",C98="",D98="",E98="",F98="",I98=""),"不通过：缺少必填项",IF(COUNTIF($B$5:$B$104,B98)&gt;1,"不通过：编码重复",IF(COUNTIF($E$5:$E$104,E98)&gt;1,"不通过：UCUM编码重复","通过"))))</x:f>
      </x:c>
    </x:row>
    <x:row r="99">
      <x:c r="A99" s="22"/>
      <x:c r="B99" s="22"/>
      <x:c r="C99" s="22"/>
      <x:c r="D99" s="22"/>
      <x:c r="E99" s="22"/>
      <x:c r="F99" s="22"/>
      <x:c r="G99" s="31"/>
      <x:c r="H99" s="31"/>
      <x:c r="I99" s="22"/>
      <x:c r="J99" s="22"/>
      <x:c r="K99" s="28" t="str">
        <x:f>IF(COUNTA(A99:J99)=0,"",IF(OR(A99="",B99="",C99="",D99="",E99="",F99="",I99=""),"不通过：缺少必填项",IF(COUNTIF($B$5:$B$104,B99)&gt;1,"不通过：编码重复",IF(COUNTIF($E$5:$E$104,E99)&gt;1,"不通过：UCUM编码重复","通过"))))</x:f>
      </x:c>
    </x:row>
    <x:row r="100">
      <x:c r="A100" s="22"/>
      <x:c r="B100" s="22"/>
      <x:c r="C100" s="22"/>
      <x:c r="D100" s="22"/>
      <x:c r="E100" s="22"/>
      <x:c r="F100" s="22"/>
      <x:c r="G100" s="31"/>
      <x:c r="H100" s="31"/>
      <x:c r="I100" s="22"/>
      <x:c r="J100" s="22"/>
      <x:c r="K100" s="28" t="str">
        <x:f>IF(COUNTA(A100:J100)=0,"",IF(OR(A100="",B100="",C100="",D100="",E100="",F100="",I100=""),"不通过：缺少必填项",IF(COUNTIF($B$5:$B$104,B100)&gt;1,"不通过：编码重复",IF(COUNTIF($E$5:$E$104,E100)&gt;1,"不通过：UCUM编码重复","通过"))))</x:f>
      </x:c>
    </x:row>
    <x:row r="101">
      <x:c r="A101" s="22"/>
      <x:c r="B101" s="22"/>
      <x:c r="C101" s="22"/>
      <x:c r="D101" s="22"/>
      <x:c r="E101" s="22"/>
      <x:c r="F101" s="22"/>
      <x:c r="G101" s="31"/>
      <x:c r="H101" s="31"/>
      <x:c r="I101" s="22"/>
      <x:c r="J101" s="22"/>
      <x:c r="K101" s="28" t="str">
        <x:f>IF(COUNTA(A101:J101)=0,"",IF(OR(A101="",B101="",C101="",D101="",E101="",F101="",I101=""),"不通过：缺少必填项",IF(COUNTIF($B$5:$B$104,B101)&gt;1,"不通过：编码重复",IF(COUNTIF($E$5:$E$104,E101)&gt;1,"不通过：UCUM编码重复","通过"))))</x:f>
      </x:c>
    </x:row>
    <x:row r="102">
      <x:c r="A102" s="22"/>
      <x:c r="B102" s="22"/>
      <x:c r="C102" s="22"/>
      <x:c r="D102" s="22"/>
      <x:c r="E102" s="22"/>
      <x:c r="F102" s="22"/>
      <x:c r="G102" s="31"/>
      <x:c r="H102" s="31"/>
      <x:c r="I102" s="22"/>
      <x:c r="J102" s="22"/>
      <x:c r="K102" s="28" t="str">
        <x:f>IF(COUNTA(A102:J102)=0,"",IF(OR(A102="",B102="",C102="",D102="",E102="",F102="",I102=""),"不通过：缺少必填项",IF(COUNTIF($B$5:$B$104,B102)&gt;1,"不通过：编码重复",IF(COUNTIF($E$5:$E$104,E102)&gt;1,"不通过：UCUM编码重复","通过"))))</x:f>
      </x:c>
    </x:row>
    <x:row r="103">
      <x:c r="A103" s="22"/>
      <x:c r="B103" s="22"/>
      <x:c r="C103" s="22"/>
      <x:c r="D103" s="22"/>
      <x:c r="E103" s="22"/>
      <x:c r="F103" s="22"/>
      <x:c r="G103" s="31"/>
      <x:c r="H103" s="31"/>
      <x:c r="I103" s="22"/>
      <x:c r="J103" s="22"/>
      <x:c r="K103" s="28" t="str">
        <x:f>IF(COUNTA(A103:J103)=0,"",IF(OR(A103="",B103="",C103="",D103="",E103="",F103="",I103=""),"不通过：缺少必填项",IF(COUNTIF($B$5:$B$104,B103)&gt;1,"不通过：编码重复",IF(COUNTIF($E$5:$E$104,E103)&gt;1,"不通过：UCUM编码重复","通过"))))</x:f>
      </x:c>
    </x:row>
    <x:row r="104">
      <x:c r="A104" s="23"/>
      <x:c r="B104" s="23"/>
      <x:c r="C104" s="23"/>
      <x:c r="D104" s="23"/>
      <x:c r="E104" s="23"/>
      <x:c r="F104" s="23"/>
      <x:c r="G104" s="32"/>
      <x:c r="H104" s="32"/>
      <x:c r="I104" s="23"/>
      <x:c r="J104" s="23"/>
      <x:c r="K104" s="29" t="str">
        <x:f>IF(COUNTA(A104:J104)=0,"",IF(OR(A104="",B104="",C104="",D104="",E104="",F104="",I104=""),"不通过：缺少必填项",IF(COUNTIF($B$5:$B$104,B104)&gt;1,"不通过：编码重复",IF(COUNTIF($E$5:$E$104,E104)&gt;1,"不通过：UCUM编码重复","通过"))))</x:f>
      </x:c>
    </x:row>
  </x:sheetData>
  <x:mergeCells>
    <x:mergeCell ref="A1:K1"/>
    <x:mergeCell ref="A2:K2"/>
  </x:mergeCells>
  <x:conditionalFormatting sqref="K5:K104">
    <x:cfRule type="beginsWith" dxfId="10" priority="1" operator="beginsWith" text="不通过"/>
    <x:cfRule type="cellIs" dxfId="11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F5:F104">
      <x:formula1>"启用,停用"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2" hidden="0" customWidth="1"/>
    <x:col min="5" max="5" width="12" hidden="0" customWidth="1"/>
    <x:col min="6" max="6" width="15" hidden="0" customWidth="1"/>
    <x:col min="7" max="7" width="15" hidden="0" customWidth="1"/>
    <x:col min="8" max="8" width="24" hidden="0" customWidth="1"/>
    <x:col min="9" max="9" width="28" hidden="0" customWidth="1"/>
    <x:col min="10" max="10" width="28" hidden="0" customWidth="1"/>
  </x:cols>
  <x:sheetData>
    <x:row r="1" ht="32" customHeight="1">
      <x:c r="A1" s="3" t="str">
        <x:v>检验方法目录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由检验科审定。方法编码用于项目配置、设备映射、参考范围和报告追溯，不允许只维护方法名称。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2" t="str">
        <x:v>数据状态*</x:v>
      </x:c>
      <x:c r="B4" s="12" t="str">
        <x:v>方法编码*</x:v>
      </x:c>
      <x:c r="C4" s="12" t="str">
        <x:v>方法名称*</x:v>
      </x:c>
      <x:c r="D4" s="12" t="str">
        <x:v>方法描述</x:v>
      </x:c>
      <x:c r="E4" s="12" t="str">
        <x:v>启用状态*</x:v>
      </x:c>
      <x:c r="F4" s="12" t="str">
        <x:v>有效开始日期</x:v>
      </x:c>
      <x:c r="G4" s="12" t="str">
        <x:v>有效结束日期</x:v>
      </x:c>
      <x:c r="H4" s="12" t="str">
        <x:v>依据/版本*</x:v>
      </x:c>
      <x:c r="I4" s="12" t="str">
        <x:v>备注</x:v>
      </x:c>
      <x:c r="J4" s="12" t="str">
        <x:v>校验结果</x:v>
      </x:c>
    </x:row>
    <x:row r="5">
      <x:c r="A5" s="21"/>
      <x:c r="B5" s="21"/>
      <x:c r="C5" s="21"/>
      <x:c r="D5" s="21"/>
      <x:c r="E5" s="21"/>
      <x:c r="F5" s="30"/>
      <x:c r="G5" s="30"/>
      <x:c r="H5" s="21"/>
      <x:c r="I5" s="21"/>
      <x:c r="J5" s="27" t="str">
        <x:f>IF(COUNTA(A5:I5)=0,"",IF(OR(A5="",B5="",C5="",E5="",H5=""),"不通过：缺少必填项",IF(COUNTIF($B$5:$B$104,B5)&gt;1,"不通过：编码重复","通过")))</x:f>
      </x:c>
    </x:row>
    <x:row r="6">
      <x:c r="A6" s="22"/>
      <x:c r="B6" s="22"/>
      <x:c r="C6" s="22"/>
      <x:c r="D6" s="22"/>
      <x:c r="E6" s="22"/>
      <x:c r="F6" s="31"/>
      <x:c r="G6" s="31"/>
      <x:c r="H6" s="22"/>
      <x:c r="I6" s="22"/>
      <x:c r="J6" s="28" t="str">
        <x:f>IF(COUNTA(A6:I6)=0,"",IF(OR(A6="",B6="",C6="",E6="",H6=""),"不通过：缺少必填项",IF(COUNTIF($B$5:$B$104,B6)&gt;1,"不通过：编码重复","通过")))</x:f>
      </x:c>
    </x:row>
    <x:row r="7">
      <x:c r="A7" s="22"/>
      <x:c r="B7" s="22"/>
      <x:c r="C7" s="22"/>
      <x:c r="D7" s="22"/>
      <x:c r="E7" s="22"/>
      <x:c r="F7" s="31"/>
      <x:c r="G7" s="31"/>
      <x:c r="H7" s="22"/>
      <x:c r="I7" s="22"/>
      <x:c r="J7" s="28" t="str">
        <x:f>IF(COUNTA(A7:I7)=0,"",IF(OR(A7="",B7="",C7="",E7="",H7=""),"不通过：缺少必填项",IF(COUNTIF($B$5:$B$104,B7)&gt;1,"不通过：编码重复","通过")))</x:f>
      </x:c>
    </x:row>
    <x:row r="8">
      <x:c r="A8" s="22"/>
      <x:c r="B8" s="22"/>
      <x:c r="C8" s="22"/>
      <x:c r="D8" s="22"/>
      <x:c r="E8" s="22"/>
      <x:c r="F8" s="31"/>
      <x:c r="G8" s="31"/>
      <x:c r="H8" s="22"/>
      <x:c r="I8" s="22"/>
      <x:c r="J8" s="28" t="str">
        <x:f>IF(COUNTA(A8:I8)=0,"",IF(OR(A8="",B8="",C8="",E8="",H8=""),"不通过：缺少必填项",IF(COUNTIF($B$5:$B$104,B8)&gt;1,"不通过：编码重复","通过")))</x:f>
      </x:c>
    </x:row>
    <x:row r="9">
      <x:c r="A9" s="22"/>
      <x:c r="B9" s="22"/>
      <x:c r="C9" s="22"/>
      <x:c r="D9" s="22"/>
      <x:c r="E9" s="22"/>
      <x:c r="F9" s="31"/>
      <x:c r="G9" s="31"/>
      <x:c r="H9" s="22"/>
      <x:c r="I9" s="22"/>
      <x:c r="J9" s="28" t="str">
        <x:f>IF(COUNTA(A9:I9)=0,"",IF(OR(A9="",B9="",C9="",E9="",H9=""),"不通过：缺少必填项",IF(COUNTIF($B$5:$B$104,B9)&gt;1,"不通过：编码重复","通过")))</x:f>
      </x:c>
    </x:row>
    <x:row r="10">
      <x:c r="A10" s="22"/>
      <x:c r="B10" s="22"/>
      <x:c r="C10" s="22"/>
      <x:c r="D10" s="22"/>
      <x:c r="E10" s="22"/>
      <x:c r="F10" s="31"/>
      <x:c r="G10" s="31"/>
      <x:c r="H10" s="22"/>
      <x:c r="I10" s="22"/>
      <x:c r="J10" s="28" t="str">
        <x:f>IF(COUNTA(A10:I10)=0,"",IF(OR(A10="",B10="",C10="",E10="",H10=""),"不通过：缺少必填项",IF(COUNTIF($B$5:$B$104,B10)&gt;1,"不通过：编码重复","通过")))</x:f>
      </x:c>
    </x:row>
    <x:row r="11">
      <x:c r="A11" s="22"/>
      <x:c r="B11" s="22"/>
      <x:c r="C11" s="22"/>
      <x:c r="D11" s="22"/>
      <x:c r="E11" s="22"/>
      <x:c r="F11" s="31"/>
      <x:c r="G11" s="31"/>
      <x:c r="H11" s="22"/>
      <x:c r="I11" s="22"/>
      <x:c r="J11" s="28" t="str">
        <x:f>IF(COUNTA(A11:I11)=0,"",IF(OR(A11="",B11="",C11="",E11="",H11=""),"不通过：缺少必填项",IF(COUNTIF($B$5:$B$104,B11)&gt;1,"不通过：编码重复","通过")))</x:f>
      </x:c>
    </x:row>
    <x:row r="12">
      <x:c r="A12" s="22"/>
      <x:c r="B12" s="22"/>
      <x:c r="C12" s="22"/>
      <x:c r="D12" s="22"/>
      <x:c r="E12" s="22"/>
      <x:c r="F12" s="31"/>
      <x:c r="G12" s="31"/>
      <x:c r="H12" s="22"/>
      <x:c r="I12" s="22"/>
      <x:c r="J12" s="28" t="str">
        <x:f>IF(COUNTA(A12:I12)=0,"",IF(OR(A12="",B12="",C12="",E12="",H12=""),"不通过：缺少必填项",IF(COUNTIF($B$5:$B$104,B12)&gt;1,"不通过：编码重复","通过")))</x:f>
      </x:c>
    </x:row>
    <x:row r="13">
      <x:c r="A13" s="22"/>
      <x:c r="B13" s="22"/>
      <x:c r="C13" s="22"/>
      <x:c r="D13" s="22"/>
      <x:c r="E13" s="22"/>
      <x:c r="F13" s="31"/>
      <x:c r="G13" s="31"/>
      <x:c r="H13" s="22"/>
      <x:c r="I13" s="22"/>
      <x:c r="J13" s="28" t="str">
        <x:f>IF(COUNTA(A13:I13)=0,"",IF(OR(A13="",B13="",C13="",E13="",H13=""),"不通过：缺少必填项",IF(COUNTIF($B$5:$B$104,B13)&gt;1,"不通过：编码重复","通过")))</x:f>
      </x:c>
    </x:row>
    <x:row r="14">
      <x:c r="A14" s="22"/>
      <x:c r="B14" s="22"/>
      <x:c r="C14" s="22"/>
      <x:c r="D14" s="22"/>
      <x:c r="E14" s="22"/>
      <x:c r="F14" s="31"/>
      <x:c r="G14" s="31"/>
      <x:c r="H14" s="22"/>
      <x:c r="I14" s="22"/>
      <x:c r="J14" s="28" t="str">
        <x:f>IF(COUNTA(A14:I14)=0,"",IF(OR(A14="",B14="",C14="",E14="",H14=""),"不通过：缺少必填项",IF(COUNTIF($B$5:$B$104,B14)&gt;1,"不通过：编码重复","通过")))</x:f>
      </x:c>
    </x:row>
    <x:row r="15">
      <x:c r="A15" s="22"/>
      <x:c r="B15" s="22"/>
      <x:c r="C15" s="22"/>
      <x:c r="D15" s="22"/>
      <x:c r="E15" s="22"/>
      <x:c r="F15" s="31"/>
      <x:c r="G15" s="31"/>
      <x:c r="H15" s="22"/>
      <x:c r="I15" s="22"/>
      <x:c r="J15" s="28" t="str">
        <x:f>IF(COUNTA(A15:I15)=0,"",IF(OR(A15="",B15="",C15="",E15="",H15=""),"不通过：缺少必填项",IF(COUNTIF($B$5:$B$104,B15)&gt;1,"不通过：编码重复","通过")))</x:f>
      </x:c>
    </x:row>
    <x:row r="16">
      <x:c r="A16" s="22"/>
      <x:c r="B16" s="22"/>
      <x:c r="C16" s="22"/>
      <x:c r="D16" s="22"/>
      <x:c r="E16" s="22"/>
      <x:c r="F16" s="31"/>
      <x:c r="G16" s="31"/>
      <x:c r="H16" s="22"/>
      <x:c r="I16" s="22"/>
      <x:c r="J16" s="28" t="str">
        <x:f>IF(COUNTA(A16:I16)=0,"",IF(OR(A16="",B16="",C16="",E16="",H16=""),"不通过：缺少必填项",IF(COUNTIF($B$5:$B$104,B16)&gt;1,"不通过：编码重复","通过")))</x:f>
      </x:c>
    </x:row>
    <x:row r="17">
      <x:c r="A17" s="22"/>
      <x:c r="B17" s="22"/>
      <x:c r="C17" s="22"/>
      <x:c r="D17" s="22"/>
      <x:c r="E17" s="22"/>
      <x:c r="F17" s="31"/>
      <x:c r="G17" s="31"/>
      <x:c r="H17" s="22"/>
      <x:c r="I17" s="22"/>
      <x:c r="J17" s="28" t="str">
        <x:f>IF(COUNTA(A17:I17)=0,"",IF(OR(A17="",B17="",C17="",E17="",H17=""),"不通过：缺少必填项",IF(COUNTIF($B$5:$B$104,B17)&gt;1,"不通过：编码重复","通过")))</x:f>
      </x:c>
    </x:row>
    <x:row r="18">
      <x:c r="A18" s="22"/>
      <x:c r="B18" s="22"/>
      <x:c r="C18" s="22"/>
      <x:c r="D18" s="22"/>
      <x:c r="E18" s="22"/>
      <x:c r="F18" s="31"/>
      <x:c r="G18" s="31"/>
      <x:c r="H18" s="22"/>
      <x:c r="I18" s="22"/>
      <x:c r="J18" s="28" t="str">
        <x:f>IF(COUNTA(A18:I18)=0,"",IF(OR(A18="",B18="",C18="",E18="",H18=""),"不通过：缺少必填项",IF(COUNTIF($B$5:$B$104,B18)&gt;1,"不通过：编码重复","通过")))</x:f>
      </x:c>
    </x:row>
    <x:row r="19">
      <x:c r="A19" s="22"/>
      <x:c r="B19" s="22"/>
      <x:c r="C19" s="22"/>
      <x:c r="D19" s="22"/>
      <x:c r="E19" s="22"/>
      <x:c r="F19" s="31"/>
      <x:c r="G19" s="31"/>
      <x:c r="H19" s="22"/>
      <x:c r="I19" s="22"/>
      <x:c r="J19" s="28" t="str">
        <x:f>IF(COUNTA(A19:I19)=0,"",IF(OR(A19="",B19="",C19="",E19="",H19=""),"不通过：缺少必填项",IF(COUNTIF($B$5:$B$104,B19)&gt;1,"不通过：编码重复","通过")))</x:f>
      </x:c>
    </x:row>
    <x:row r="20">
      <x:c r="A20" s="22"/>
      <x:c r="B20" s="22"/>
      <x:c r="C20" s="22"/>
      <x:c r="D20" s="22"/>
      <x:c r="E20" s="22"/>
      <x:c r="F20" s="31"/>
      <x:c r="G20" s="31"/>
      <x:c r="H20" s="22"/>
      <x:c r="I20" s="22"/>
      <x:c r="J20" s="28" t="str">
        <x:f>IF(COUNTA(A20:I20)=0,"",IF(OR(A20="",B20="",C20="",E20="",H20=""),"不通过：缺少必填项",IF(COUNTIF($B$5:$B$104,B20)&gt;1,"不通过：编码重复","通过")))</x:f>
      </x:c>
    </x:row>
    <x:row r="21">
      <x:c r="A21" s="22"/>
      <x:c r="B21" s="22"/>
      <x:c r="C21" s="22"/>
      <x:c r="D21" s="22"/>
      <x:c r="E21" s="22"/>
      <x:c r="F21" s="31"/>
      <x:c r="G21" s="31"/>
      <x:c r="H21" s="22"/>
      <x:c r="I21" s="22"/>
      <x:c r="J21" s="28" t="str">
        <x:f>IF(COUNTA(A21:I21)=0,"",IF(OR(A21="",B21="",C21="",E21="",H21=""),"不通过：缺少必填项",IF(COUNTIF($B$5:$B$104,B21)&gt;1,"不通过：编码重复","通过")))</x:f>
      </x:c>
    </x:row>
    <x:row r="22">
      <x:c r="A22" s="22"/>
      <x:c r="B22" s="22"/>
      <x:c r="C22" s="22"/>
      <x:c r="D22" s="22"/>
      <x:c r="E22" s="22"/>
      <x:c r="F22" s="31"/>
      <x:c r="G22" s="31"/>
      <x:c r="H22" s="22"/>
      <x:c r="I22" s="22"/>
      <x:c r="J22" s="28" t="str">
        <x:f>IF(COUNTA(A22:I22)=0,"",IF(OR(A22="",B22="",C22="",E22="",H22=""),"不通过：缺少必填项",IF(COUNTIF($B$5:$B$104,B22)&gt;1,"不通过：编码重复","通过")))</x:f>
      </x:c>
    </x:row>
    <x:row r="23">
      <x:c r="A23" s="22"/>
      <x:c r="B23" s="22"/>
      <x:c r="C23" s="22"/>
      <x:c r="D23" s="22"/>
      <x:c r="E23" s="22"/>
      <x:c r="F23" s="31"/>
      <x:c r="G23" s="31"/>
      <x:c r="H23" s="22"/>
      <x:c r="I23" s="22"/>
      <x:c r="J23" s="28" t="str">
        <x:f>IF(COUNTA(A23:I23)=0,"",IF(OR(A23="",B23="",C23="",E23="",H23=""),"不通过：缺少必填项",IF(COUNTIF($B$5:$B$104,B23)&gt;1,"不通过：编码重复","通过")))</x:f>
      </x:c>
    </x:row>
    <x:row r="24">
      <x:c r="A24" s="22"/>
      <x:c r="B24" s="22"/>
      <x:c r="C24" s="22"/>
      <x:c r="D24" s="22"/>
      <x:c r="E24" s="22"/>
      <x:c r="F24" s="31"/>
      <x:c r="G24" s="31"/>
      <x:c r="H24" s="22"/>
      <x:c r="I24" s="22"/>
      <x:c r="J24" s="28" t="str">
        <x:f>IF(COUNTA(A24:I24)=0,"",IF(OR(A24="",B24="",C24="",E24="",H24=""),"不通过：缺少必填项",IF(COUNTIF($B$5:$B$104,B24)&gt;1,"不通过：编码重复","通过")))</x:f>
      </x:c>
    </x:row>
    <x:row r="25">
      <x:c r="A25" s="22"/>
      <x:c r="B25" s="22"/>
      <x:c r="C25" s="22"/>
      <x:c r="D25" s="22"/>
      <x:c r="E25" s="22"/>
      <x:c r="F25" s="31"/>
      <x:c r="G25" s="31"/>
      <x:c r="H25" s="22"/>
      <x:c r="I25" s="22"/>
      <x:c r="J25" s="28" t="str">
        <x:f>IF(COUNTA(A25:I25)=0,"",IF(OR(A25="",B25="",C25="",E25="",H25=""),"不通过：缺少必填项",IF(COUNTIF($B$5:$B$104,B25)&gt;1,"不通过：编码重复","通过")))</x:f>
      </x:c>
    </x:row>
    <x:row r="26">
      <x:c r="A26" s="22"/>
      <x:c r="B26" s="22"/>
      <x:c r="C26" s="22"/>
      <x:c r="D26" s="22"/>
      <x:c r="E26" s="22"/>
      <x:c r="F26" s="31"/>
      <x:c r="G26" s="31"/>
      <x:c r="H26" s="22"/>
      <x:c r="I26" s="22"/>
      <x:c r="J26" s="28" t="str">
        <x:f>IF(COUNTA(A26:I26)=0,"",IF(OR(A26="",B26="",C26="",E26="",H26=""),"不通过：缺少必填项",IF(COUNTIF($B$5:$B$104,B26)&gt;1,"不通过：编码重复","通过")))</x:f>
      </x:c>
    </x:row>
    <x:row r="27">
      <x:c r="A27" s="22"/>
      <x:c r="B27" s="22"/>
      <x:c r="C27" s="22"/>
      <x:c r="D27" s="22"/>
      <x:c r="E27" s="22"/>
      <x:c r="F27" s="31"/>
      <x:c r="G27" s="31"/>
      <x:c r="H27" s="22"/>
      <x:c r="I27" s="22"/>
      <x:c r="J27" s="28" t="str">
        <x:f>IF(COUNTA(A27:I27)=0,"",IF(OR(A27="",B27="",C27="",E27="",H27=""),"不通过：缺少必填项",IF(COUNTIF($B$5:$B$104,B27)&gt;1,"不通过：编码重复","通过")))</x:f>
      </x:c>
    </x:row>
    <x:row r="28">
      <x:c r="A28" s="22"/>
      <x:c r="B28" s="22"/>
      <x:c r="C28" s="22"/>
      <x:c r="D28" s="22"/>
      <x:c r="E28" s="22"/>
      <x:c r="F28" s="31"/>
      <x:c r="G28" s="31"/>
      <x:c r="H28" s="22"/>
      <x:c r="I28" s="22"/>
      <x:c r="J28" s="28" t="str">
        <x:f>IF(COUNTA(A28:I28)=0,"",IF(OR(A28="",B28="",C28="",E28="",H28=""),"不通过：缺少必填项",IF(COUNTIF($B$5:$B$104,B28)&gt;1,"不通过：编码重复","通过")))</x:f>
      </x:c>
    </x:row>
    <x:row r="29">
      <x:c r="A29" s="22"/>
      <x:c r="B29" s="22"/>
      <x:c r="C29" s="22"/>
      <x:c r="D29" s="22"/>
      <x:c r="E29" s="22"/>
      <x:c r="F29" s="31"/>
      <x:c r="G29" s="31"/>
      <x:c r="H29" s="22"/>
      <x:c r="I29" s="22"/>
      <x:c r="J29" s="28" t="str">
        <x:f>IF(COUNTA(A29:I29)=0,"",IF(OR(A29="",B29="",C29="",E29="",H29=""),"不通过：缺少必填项",IF(COUNTIF($B$5:$B$104,B29)&gt;1,"不通过：编码重复","通过")))</x:f>
      </x:c>
    </x:row>
    <x:row r="30">
      <x:c r="A30" s="22"/>
      <x:c r="B30" s="22"/>
      <x:c r="C30" s="22"/>
      <x:c r="D30" s="22"/>
      <x:c r="E30" s="22"/>
      <x:c r="F30" s="31"/>
      <x:c r="G30" s="31"/>
      <x:c r="H30" s="22"/>
      <x:c r="I30" s="22"/>
      <x:c r="J30" s="28" t="str">
        <x:f>IF(COUNTA(A30:I30)=0,"",IF(OR(A30="",B30="",C30="",E30="",H30=""),"不通过：缺少必填项",IF(COUNTIF($B$5:$B$104,B30)&gt;1,"不通过：编码重复","通过")))</x:f>
      </x:c>
    </x:row>
    <x:row r="31">
      <x:c r="A31" s="22"/>
      <x:c r="B31" s="22"/>
      <x:c r="C31" s="22"/>
      <x:c r="D31" s="22"/>
      <x:c r="E31" s="22"/>
      <x:c r="F31" s="31"/>
      <x:c r="G31" s="31"/>
      <x:c r="H31" s="22"/>
      <x:c r="I31" s="22"/>
      <x:c r="J31" s="28" t="str">
        <x:f>IF(COUNTA(A31:I31)=0,"",IF(OR(A31="",B31="",C31="",E31="",H31=""),"不通过：缺少必填项",IF(COUNTIF($B$5:$B$104,B31)&gt;1,"不通过：编码重复","通过")))</x:f>
      </x:c>
    </x:row>
    <x:row r="32">
      <x:c r="A32" s="22"/>
      <x:c r="B32" s="22"/>
      <x:c r="C32" s="22"/>
      <x:c r="D32" s="22"/>
      <x:c r="E32" s="22"/>
      <x:c r="F32" s="31"/>
      <x:c r="G32" s="31"/>
      <x:c r="H32" s="22"/>
      <x:c r="I32" s="22"/>
      <x:c r="J32" s="28" t="str">
        <x:f>IF(COUNTA(A32:I32)=0,"",IF(OR(A32="",B32="",C32="",E32="",H32=""),"不通过：缺少必填项",IF(COUNTIF($B$5:$B$104,B32)&gt;1,"不通过：编码重复","通过")))</x:f>
      </x:c>
    </x:row>
    <x:row r="33">
      <x:c r="A33" s="22"/>
      <x:c r="B33" s="22"/>
      <x:c r="C33" s="22"/>
      <x:c r="D33" s="22"/>
      <x:c r="E33" s="22"/>
      <x:c r="F33" s="31"/>
      <x:c r="G33" s="31"/>
      <x:c r="H33" s="22"/>
      <x:c r="I33" s="22"/>
      <x:c r="J33" s="28" t="str">
        <x:f>IF(COUNTA(A33:I33)=0,"",IF(OR(A33="",B33="",C33="",E33="",H33=""),"不通过：缺少必填项",IF(COUNTIF($B$5:$B$104,B33)&gt;1,"不通过：编码重复","通过")))</x:f>
      </x:c>
    </x:row>
    <x:row r="34">
      <x:c r="A34" s="22"/>
      <x:c r="B34" s="22"/>
      <x:c r="C34" s="22"/>
      <x:c r="D34" s="22"/>
      <x:c r="E34" s="22"/>
      <x:c r="F34" s="31"/>
      <x:c r="G34" s="31"/>
      <x:c r="H34" s="22"/>
      <x:c r="I34" s="22"/>
      <x:c r="J34" s="28" t="str">
        <x:f>IF(COUNTA(A34:I34)=0,"",IF(OR(A34="",B34="",C34="",E34="",H34=""),"不通过：缺少必填项",IF(COUNTIF($B$5:$B$104,B34)&gt;1,"不通过：编码重复","通过")))</x:f>
      </x:c>
    </x:row>
    <x:row r="35">
      <x:c r="A35" s="22"/>
      <x:c r="B35" s="22"/>
      <x:c r="C35" s="22"/>
      <x:c r="D35" s="22"/>
      <x:c r="E35" s="22"/>
      <x:c r="F35" s="31"/>
      <x:c r="G35" s="31"/>
      <x:c r="H35" s="22"/>
      <x:c r="I35" s="22"/>
      <x:c r="J35" s="28" t="str">
        <x:f>IF(COUNTA(A35:I35)=0,"",IF(OR(A35="",B35="",C35="",E35="",H35=""),"不通过：缺少必填项",IF(COUNTIF($B$5:$B$104,B35)&gt;1,"不通过：编码重复","通过")))</x:f>
      </x:c>
    </x:row>
    <x:row r="36">
      <x:c r="A36" s="22"/>
      <x:c r="B36" s="22"/>
      <x:c r="C36" s="22"/>
      <x:c r="D36" s="22"/>
      <x:c r="E36" s="22"/>
      <x:c r="F36" s="31"/>
      <x:c r="G36" s="31"/>
      <x:c r="H36" s="22"/>
      <x:c r="I36" s="22"/>
      <x:c r="J36" s="28" t="str">
        <x:f>IF(COUNTA(A36:I36)=0,"",IF(OR(A36="",B36="",C36="",E36="",H36=""),"不通过：缺少必填项",IF(COUNTIF($B$5:$B$104,B36)&gt;1,"不通过：编码重复","通过")))</x:f>
      </x:c>
    </x:row>
    <x:row r="37">
      <x:c r="A37" s="22"/>
      <x:c r="B37" s="22"/>
      <x:c r="C37" s="22"/>
      <x:c r="D37" s="22"/>
      <x:c r="E37" s="22"/>
      <x:c r="F37" s="31"/>
      <x:c r="G37" s="31"/>
      <x:c r="H37" s="22"/>
      <x:c r="I37" s="22"/>
      <x:c r="J37" s="28" t="str">
        <x:f>IF(COUNTA(A37:I37)=0,"",IF(OR(A37="",B37="",C37="",E37="",H37=""),"不通过：缺少必填项",IF(COUNTIF($B$5:$B$104,B37)&gt;1,"不通过：编码重复","通过")))</x:f>
      </x:c>
    </x:row>
    <x:row r="38">
      <x:c r="A38" s="22"/>
      <x:c r="B38" s="22"/>
      <x:c r="C38" s="22"/>
      <x:c r="D38" s="22"/>
      <x:c r="E38" s="22"/>
      <x:c r="F38" s="31"/>
      <x:c r="G38" s="31"/>
      <x:c r="H38" s="22"/>
      <x:c r="I38" s="22"/>
      <x:c r="J38" s="28" t="str">
        <x:f>IF(COUNTA(A38:I38)=0,"",IF(OR(A38="",B38="",C38="",E38="",H38=""),"不通过：缺少必填项",IF(COUNTIF($B$5:$B$104,B38)&gt;1,"不通过：编码重复","通过")))</x:f>
      </x:c>
    </x:row>
    <x:row r="39">
      <x:c r="A39" s="22"/>
      <x:c r="B39" s="22"/>
      <x:c r="C39" s="22"/>
      <x:c r="D39" s="22"/>
      <x:c r="E39" s="22"/>
      <x:c r="F39" s="31"/>
      <x:c r="G39" s="31"/>
      <x:c r="H39" s="22"/>
      <x:c r="I39" s="22"/>
      <x:c r="J39" s="28" t="str">
        <x:f>IF(COUNTA(A39:I39)=0,"",IF(OR(A39="",B39="",C39="",E39="",H39=""),"不通过：缺少必填项",IF(COUNTIF($B$5:$B$104,B39)&gt;1,"不通过：编码重复","通过")))</x:f>
      </x:c>
    </x:row>
    <x:row r="40">
      <x:c r="A40" s="22"/>
      <x:c r="B40" s="22"/>
      <x:c r="C40" s="22"/>
      <x:c r="D40" s="22"/>
      <x:c r="E40" s="22"/>
      <x:c r="F40" s="31"/>
      <x:c r="G40" s="31"/>
      <x:c r="H40" s="22"/>
      <x:c r="I40" s="22"/>
      <x:c r="J40" s="28" t="str">
        <x:f>IF(COUNTA(A40:I40)=0,"",IF(OR(A40="",B40="",C40="",E40="",H40=""),"不通过：缺少必填项",IF(COUNTIF($B$5:$B$104,B40)&gt;1,"不通过：编码重复","通过")))</x:f>
      </x:c>
    </x:row>
    <x:row r="41">
      <x:c r="A41" s="22"/>
      <x:c r="B41" s="22"/>
      <x:c r="C41" s="22"/>
      <x:c r="D41" s="22"/>
      <x:c r="E41" s="22"/>
      <x:c r="F41" s="31"/>
      <x:c r="G41" s="31"/>
      <x:c r="H41" s="22"/>
      <x:c r="I41" s="22"/>
      <x:c r="J41" s="28" t="str">
        <x:f>IF(COUNTA(A41:I41)=0,"",IF(OR(A41="",B41="",C41="",E41="",H41=""),"不通过：缺少必填项",IF(COUNTIF($B$5:$B$104,B41)&gt;1,"不通过：编码重复","通过")))</x:f>
      </x:c>
    </x:row>
    <x:row r="42">
      <x:c r="A42" s="22"/>
      <x:c r="B42" s="22"/>
      <x:c r="C42" s="22"/>
      <x:c r="D42" s="22"/>
      <x:c r="E42" s="22"/>
      <x:c r="F42" s="31"/>
      <x:c r="G42" s="31"/>
      <x:c r="H42" s="22"/>
      <x:c r="I42" s="22"/>
      <x:c r="J42" s="28" t="str">
        <x:f>IF(COUNTA(A42:I42)=0,"",IF(OR(A42="",B42="",C42="",E42="",H42=""),"不通过：缺少必填项",IF(COUNTIF($B$5:$B$104,B42)&gt;1,"不通过：编码重复","通过")))</x:f>
      </x:c>
    </x:row>
    <x:row r="43">
      <x:c r="A43" s="22"/>
      <x:c r="B43" s="22"/>
      <x:c r="C43" s="22"/>
      <x:c r="D43" s="22"/>
      <x:c r="E43" s="22"/>
      <x:c r="F43" s="31"/>
      <x:c r="G43" s="31"/>
      <x:c r="H43" s="22"/>
      <x:c r="I43" s="22"/>
      <x:c r="J43" s="28" t="str">
        <x:f>IF(COUNTA(A43:I43)=0,"",IF(OR(A43="",B43="",C43="",E43="",H43=""),"不通过：缺少必填项",IF(COUNTIF($B$5:$B$104,B43)&gt;1,"不通过：编码重复","通过")))</x:f>
      </x:c>
    </x:row>
    <x:row r="44">
      <x:c r="A44" s="22"/>
      <x:c r="B44" s="22"/>
      <x:c r="C44" s="22"/>
      <x:c r="D44" s="22"/>
      <x:c r="E44" s="22"/>
      <x:c r="F44" s="31"/>
      <x:c r="G44" s="31"/>
      <x:c r="H44" s="22"/>
      <x:c r="I44" s="22"/>
      <x:c r="J44" s="28" t="str">
        <x:f>IF(COUNTA(A44:I44)=0,"",IF(OR(A44="",B44="",C44="",E44="",H44=""),"不通过：缺少必填项",IF(COUNTIF($B$5:$B$104,B44)&gt;1,"不通过：编码重复","通过")))</x:f>
      </x:c>
    </x:row>
    <x:row r="45">
      <x:c r="A45" s="22"/>
      <x:c r="B45" s="22"/>
      <x:c r="C45" s="22"/>
      <x:c r="D45" s="22"/>
      <x:c r="E45" s="22"/>
      <x:c r="F45" s="31"/>
      <x:c r="G45" s="31"/>
      <x:c r="H45" s="22"/>
      <x:c r="I45" s="22"/>
      <x:c r="J45" s="28" t="str">
        <x:f>IF(COUNTA(A45:I45)=0,"",IF(OR(A45="",B45="",C45="",E45="",H45=""),"不通过：缺少必填项",IF(COUNTIF($B$5:$B$104,B45)&gt;1,"不通过：编码重复","通过")))</x:f>
      </x:c>
    </x:row>
    <x:row r="46">
      <x:c r="A46" s="22"/>
      <x:c r="B46" s="22"/>
      <x:c r="C46" s="22"/>
      <x:c r="D46" s="22"/>
      <x:c r="E46" s="22"/>
      <x:c r="F46" s="31"/>
      <x:c r="G46" s="31"/>
      <x:c r="H46" s="22"/>
      <x:c r="I46" s="22"/>
      <x:c r="J46" s="28" t="str">
        <x:f>IF(COUNTA(A46:I46)=0,"",IF(OR(A46="",B46="",C46="",E46="",H46=""),"不通过：缺少必填项",IF(COUNTIF($B$5:$B$104,B46)&gt;1,"不通过：编码重复","通过")))</x:f>
      </x:c>
    </x:row>
    <x:row r="47">
      <x:c r="A47" s="22"/>
      <x:c r="B47" s="22"/>
      <x:c r="C47" s="22"/>
      <x:c r="D47" s="22"/>
      <x:c r="E47" s="22"/>
      <x:c r="F47" s="31"/>
      <x:c r="G47" s="31"/>
      <x:c r="H47" s="22"/>
      <x:c r="I47" s="22"/>
      <x:c r="J47" s="28" t="str">
        <x:f>IF(COUNTA(A47:I47)=0,"",IF(OR(A47="",B47="",C47="",E47="",H47=""),"不通过：缺少必填项",IF(COUNTIF($B$5:$B$104,B47)&gt;1,"不通过：编码重复","通过")))</x:f>
      </x:c>
    </x:row>
    <x:row r="48">
      <x:c r="A48" s="22"/>
      <x:c r="B48" s="22"/>
      <x:c r="C48" s="22"/>
      <x:c r="D48" s="22"/>
      <x:c r="E48" s="22"/>
      <x:c r="F48" s="31"/>
      <x:c r="G48" s="31"/>
      <x:c r="H48" s="22"/>
      <x:c r="I48" s="22"/>
      <x:c r="J48" s="28" t="str">
        <x:f>IF(COUNTA(A48:I48)=0,"",IF(OR(A48="",B48="",C48="",E48="",H48=""),"不通过：缺少必填项",IF(COUNTIF($B$5:$B$104,B48)&gt;1,"不通过：编码重复","通过")))</x:f>
      </x:c>
    </x:row>
    <x:row r="49">
      <x:c r="A49" s="22"/>
      <x:c r="B49" s="22"/>
      <x:c r="C49" s="22"/>
      <x:c r="D49" s="22"/>
      <x:c r="E49" s="22"/>
      <x:c r="F49" s="31"/>
      <x:c r="G49" s="31"/>
      <x:c r="H49" s="22"/>
      <x:c r="I49" s="22"/>
      <x:c r="J49" s="28" t="str">
        <x:f>IF(COUNTA(A49:I49)=0,"",IF(OR(A49="",B49="",C49="",E49="",H49=""),"不通过：缺少必填项",IF(COUNTIF($B$5:$B$104,B49)&gt;1,"不通过：编码重复","通过")))</x:f>
      </x:c>
    </x:row>
    <x:row r="50">
      <x:c r="A50" s="22"/>
      <x:c r="B50" s="22"/>
      <x:c r="C50" s="22"/>
      <x:c r="D50" s="22"/>
      <x:c r="E50" s="22"/>
      <x:c r="F50" s="31"/>
      <x:c r="G50" s="31"/>
      <x:c r="H50" s="22"/>
      <x:c r="I50" s="22"/>
      <x:c r="J50" s="28" t="str">
        <x:f>IF(COUNTA(A50:I50)=0,"",IF(OR(A50="",B50="",C50="",E50="",H50=""),"不通过：缺少必填项",IF(COUNTIF($B$5:$B$104,B50)&gt;1,"不通过：编码重复","通过")))</x:f>
      </x:c>
    </x:row>
    <x:row r="51">
      <x:c r="A51" s="22"/>
      <x:c r="B51" s="22"/>
      <x:c r="C51" s="22"/>
      <x:c r="D51" s="22"/>
      <x:c r="E51" s="22"/>
      <x:c r="F51" s="31"/>
      <x:c r="G51" s="31"/>
      <x:c r="H51" s="22"/>
      <x:c r="I51" s="22"/>
      <x:c r="J51" s="28" t="str">
        <x:f>IF(COUNTA(A51:I51)=0,"",IF(OR(A51="",B51="",C51="",E51="",H51=""),"不通过：缺少必填项",IF(COUNTIF($B$5:$B$104,B51)&gt;1,"不通过：编码重复","通过")))</x:f>
      </x:c>
    </x:row>
    <x:row r="52">
      <x:c r="A52" s="22"/>
      <x:c r="B52" s="22"/>
      <x:c r="C52" s="22"/>
      <x:c r="D52" s="22"/>
      <x:c r="E52" s="22"/>
      <x:c r="F52" s="31"/>
      <x:c r="G52" s="31"/>
      <x:c r="H52" s="22"/>
      <x:c r="I52" s="22"/>
      <x:c r="J52" s="28" t="str">
        <x:f>IF(COUNTA(A52:I52)=0,"",IF(OR(A52="",B52="",C52="",E52="",H52=""),"不通过：缺少必填项",IF(COUNTIF($B$5:$B$104,B52)&gt;1,"不通过：编码重复","通过")))</x:f>
      </x:c>
    </x:row>
    <x:row r="53">
      <x:c r="A53" s="22"/>
      <x:c r="B53" s="22"/>
      <x:c r="C53" s="22"/>
      <x:c r="D53" s="22"/>
      <x:c r="E53" s="22"/>
      <x:c r="F53" s="31"/>
      <x:c r="G53" s="31"/>
      <x:c r="H53" s="22"/>
      <x:c r="I53" s="22"/>
      <x:c r="J53" s="28" t="str">
        <x:f>IF(COUNTA(A53:I53)=0,"",IF(OR(A53="",B53="",C53="",E53="",H53=""),"不通过：缺少必填项",IF(COUNTIF($B$5:$B$104,B53)&gt;1,"不通过：编码重复","通过")))</x:f>
      </x:c>
    </x:row>
    <x:row r="54">
      <x:c r="A54" s="22"/>
      <x:c r="B54" s="22"/>
      <x:c r="C54" s="22"/>
      <x:c r="D54" s="22"/>
      <x:c r="E54" s="22"/>
      <x:c r="F54" s="31"/>
      <x:c r="G54" s="31"/>
      <x:c r="H54" s="22"/>
      <x:c r="I54" s="22"/>
      <x:c r="J54" s="28" t="str">
        <x:f>IF(COUNTA(A54:I54)=0,"",IF(OR(A54="",B54="",C54="",E54="",H54=""),"不通过：缺少必填项",IF(COUNTIF($B$5:$B$104,B54)&gt;1,"不通过：编码重复","通过")))</x:f>
      </x:c>
    </x:row>
    <x:row r="55">
      <x:c r="A55" s="22"/>
      <x:c r="B55" s="22"/>
      <x:c r="C55" s="22"/>
      <x:c r="D55" s="22"/>
      <x:c r="E55" s="22"/>
      <x:c r="F55" s="31"/>
      <x:c r="G55" s="31"/>
      <x:c r="H55" s="22"/>
      <x:c r="I55" s="22"/>
      <x:c r="J55" s="28" t="str">
        <x:f>IF(COUNTA(A55:I55)=0,"",IF(OR(A55="",B55="",C55="",E55="",H55=""),"不通过：缺少必填项",IF(COUNTIF($B$5:$B$104,B55)&gt;1,"不通过：编码重复","通过")))</x:f>
      </x:c>
    </x:row>
    <x:row r="56">
      <x:c r="A56" s="22"/>
      <x:c r="B56" s="22"/>
      <x:c r="C56" s="22"/>
      <x:c r="D56" s="22"/>
      <x:c r="E56" s="22"/>
      <x:c r="F56" s="31"/>
      <x:c r="G56" s="31"/>
      <x:c r="H56" s="22"/>
      <x:c r="I56" s="22"/>
      <x:c r="J56" s="28" t="str">
        <x:f>IF(COUNTA(A56:I56)=0,"",IF(OR(A56="",B56="",C56="",E56="",H56=""),"不通过：缺少必填项",IF(COUNTIF($B$5:$B$104,B56)&gt;1,"不通过：编码重复","通过")))</x:f>
      </x:c>
    </x:row>
    <x:row r="57">
      <x:c r="A57" s="22"/>
      <x:c r="B57" s="22"/>
      <x:c r="C57" s="22"/>
      <x:c r="D57" s="22"/>
      <x:c r="E57" s="22"/>
      <x:c r="F57" s="31"/>
      <x:c r="G57" s="31"/>
      <x:c r="H57" s="22"/>
      <x:c r="I57" s="22"/>
      <x:c r="J57" s="28" t="str">
        <x:f>IF(COUNTA(A57:I57)=0,"",IF(OR(A57="",B57="",C57="",E57="",H57=""),"不通过：缺少必填项",IF(COUNTIF($B$5:$B$104,B57)&gt;1,"不通过：编码重复","通过")))</x:f>
      </x:c>
    </x:row>
    <x:row r="58">
      <x:c r="A58" s="22"/>
      <x:c r="B58" s="22"/>
      <x:c r="C58" s="22"/>
      <x:c r="D58" s="22"/>
      <x:c r="E58" s="22"/>
      <x:c r="F58" s="31"/>
      <x:c r="G58" s="31"/>
      <x:c r="H58" s="22"/>
      <x:c r="I58" s="22"/>
      <x:c r="J58" s="28" t="str">
        <x:f>IF(COUNTA(A58:I58)=0,"",IF(OR(A58="",B58="",C58="",E58="",H58=""),"不通过：缺少必填项",IF(COUNTIF($B$5:$B$104,B58)&gt;1,"不通过：编码重复","通过")))</x:f>
      </x:c>
    </x:row>
    <x:row r="59">
      <x:c r="A59" s="22"/>
      <x:c r="B59" s="22"/>
      <x:c r="C59" s="22"/>
      <x:c r="D59" s="22"/>
      <x:c r="E59" s="22"/>
      <x:c r="F59" s="31"/>
      <x:c r="G59" s="31"/>
      <x:c r="H59" s="22"/>
      <x:c r="I59" s="22"/>
      <x:c r="J59" s="28" t="str">
        <x:f>IF(COUNTA(A59:I59)=0,"",IF(OR(A59="",B59="",C59="",E59="",H59=""),"不通过：缺少必填项",IF(COUNTIF($B$5:$B$104,B59)&gt;1,"不通过：编码重复","通过")))</x:f>
      </x:c>
    </x:row>
    <x:row r="60">
      <x:c r="A60" s="22"/>
      <x:c r="B60" s="22"/>
      <x:c r="C60" s="22"/>
      <x:c r="D60" s="22"/>
      <x:c r="E60" s="22"/>
      <x:c r="F60" s="31"/>
      <x:c r="G60" s="31"/>
      <x:c r="H60" s="22"/>
      <x:c r="I60" s="22"/>
      <x:c r="J60" s="28" t="str">
        <x:f>IF(COUNTA(A60:I60)=0,"",IF(OR(A60="",B60="",C60="",E60="",H60=""),"不通过：缺少必填项",IF(COUNTIF($B$5:$B$104,B60)&gt;1,"不通过：编码重复","通过")))</x:f>
      </x:c>
    </x:row>
    <x:row r="61">
      <x:c r="A61" s="22"/>
      <x:c r="B61" s="22"/>
      <x:c r="C61" s="22"/>
      <x:c r="D61" s="22"/>
      <x:c r="E61" s="22"/>
      <x:c r="F61" s="31"/>
      <x:c r="G61" s="31"/>
      <x:c r="H61" s="22"/>
      <x:c r="I61" s="22"/>
      <x:c r="J61" s="28" t="str">
        <x:f>IF(COUNTA(A61:I61)=0,"",IF(OR(A61="",B61="",C61="",E61="",H61=""),"不通过：缺少必填项",IF(COUNTIF($B$5:$B$104,B61)&gt;1,"不通过：编码重复","通过")))</x:f>
      </x:c>
    </x:row>
    <x:row r="62">
      <x:c r="A62" s="22"/>
      <x:c r="B62" s="22"/>
      <x:c r="C62" s="22"/>
      <x:c r="D62" s="22"/>
      <x:c r="E62" s="22"/>
      <x:c r="F62" s="31"/>
      <x:c r="G62" s="31"/>
      <x:c r="H62" s="22"/>
      <x:c r="I62" s="22"/>
      <x:c r="J62" s="28" t="str">
        <x:f>IF(COUNTA(A62:I62)=0,"",IF(OR(A62="",B62="",C62="",E62="",H62=""),"不通过：缺少必填项",IF(COUNTIF($B$5:$B$104,B62)&gt;1,"不通过：编码重复","通过")))</x:f>
      </x:c>
    </x:row>
    <x:row r="63">
      <x:c r="A63" s="22"/>
      <x:c r="B63" s="22"/>
      <x:c r="C63" s="22"/>
      <x:c r="D63" s="22"/>
      <x:c r="E63" s="22"/>
      <x:c r="F63" s="31"/>
      <x:c r="G63" s="31"/>
      <x:c r="H63" s="22"/>
      <x:c r="I63" s="22"/>
      <x:c r="J63" s="28" t="str">
        <x:f>IF(COUNTA(A63:I63)=0,"",IF(OR(A63="",B63="",C63="",E63="",H63=""),"不通过：缺少必填项",IF(COUNTIF($B$5:$B$104,B63)&gt;1,"不通过：编码重复","通过")))</x:f>
      </x:c>
    </x:row>
    <x:row r="64">
      <x:c r="A64" s="22"/>
      <x:c r="B64" s="22"/>
      <x:c r="C64" s="22"/>
      <x:c r="D64" s="22"/>
      <x:c r="E64" s="22"/>
      <x:c r="F64" s="31"/>
      <x:c r="G64" s="31"/>
      <x:c r="H64" s="22"/>
      <x:c r="I64" s="22"/>
      <x:c r="J64" s="28" t="str">
        <x:f>IF(COUNTA(A64:I64)=0,"",IF(OR(A64="",B64="",C64="",E64="",H64=""),"不通过：缺少必填项",IF(COUNTIF($B$5:$B$104,B64)&gt;1,"不通过：编码重复","通过")))</x:f>
      </x:c>
    </x:row>
    <x:row r="65">
      <x:c r="A65" s="22"/>
      <x:c r="B65" s="22"/>
      <x:c r="C65" s="22"/>
      <x:c r="D65" s="22"/>
      <x:c r="E65" s="22"/>
      <x:c r="F65" s="31"/>
      <x:c r="G65" s="31"/>
      <x:c r="H65" s="22"/>
      <x:c r="I65" s="22"/>
      <x:c r="J65" s="28" t="str">
        <x:f>IF(COUNTA(A65:I65)=0,"",IF(OR(A65="",B65="",C65="",E65="",H65=""),"不通过：缺少必填项",IF(COUNTIF($B$5:$B$104,B65)&gt;1,"不通过：编码重复","通过")))</x:f>
      </x:c>
    </x:row>
    <x:row r="66">
      <x:c r="A66" s="22"/>
      <x:c r="B66" s="22"/>
      <x:c r="C66" s="22"/>
      <x:c r="D66" s="22"/>
      <x:c r="E66" s="22"/>
      <x:c r="F66" s="31"/>
      <x:c r="G66" s="31"/>
      <x:c r="H66" s="22"/>
      <x:c r="I66" s="22"/>
      <x:c r="J66" s="28" t="str">
        <x:f>IF(COUNTA(A66:I66)=0,"",IF(OR(A66="",B66="",C66="",E66="",H66=""),"不通过：缺少必填项",IF(COUNTIF($B$5:$B$104,B66)&gt;1,"不通过：编码重复","通过")))</x:f>
      </x:c>
    </x:row>
    <x:row r="67">
      <x:c r="A67" s="22"/>
      <x:c r="B67" s="22"/>
      <x:c r="C67" s="22"/>
      <x:c r="D67" s="22"/>
      <x:c r="E67" s="22"/>
      <x:c r="F67" s="31"/>
      <x:c r="G67" s="31"/>
      <x:c r="H67" s="22"/>
      <x:c r="I67" s="22"/>
      <x:c r="J67" s="28" t="str">
        <x:f>IF(COUNTA(A67:I67)=0,"",IF(OR(A67="",B67="",C67="",E67="",H67=""),"不通过：缺少必填项",IF(COUNTIF($B$5:$B$104,B67)&gt;1,"不通过：编码重复","通过")))</x:f>
      </x:c>
    </x:row>
    <x:row r="68">
      <x:c r="A68" s="22"/>
      <x:c r="B68" s="22"/>
      <x:c r="C68" s="22"/>
      <x:c r="D68" s="22"/>
      <x:c r="E68" s="22"/>
      <x:c r="F68" s="31"/>
      <x:c r="G68" s="31"/>
      <x:c r="H68" s="22"/>
      <x:c r="I68" s="22"/>
      <x:c r="J68" s="28" t="str">
        <x:f>IF(COUNTA(A68:I68)=0,"",IF(OR(A68="",B68="",C68="",E68="",H68=""),"不通过：缺少必填项",IF(COUNTIF($B$5:$B$104,B68)&gt;1,"不通过：编码重复","通过")))</x:f>
      </x:c>
    </x:row>
    <x:row r="69">
      <x:c r="A69" s="22"/>
      <x:c r="B69" s="22"/>
      <x:c r="C69" s="22"/>
      <x:c r="D69" s="22"/>
      <x:c r="E69" s="22"/>
      <x:c r="F69" s="31"/>
      <x:c r="G69" s="31"/>
      <x:c r="H69" s="22"/>
      <x:c r="I69" s="22"/>
      <x:c r="J69" s="28" t="str">
        <x:f>IF(COUNTA(A69:I69)=0,"",IF(OR(A69="",B69="",C69="",E69="",H69=""),"不通过：缺少必填项",IF(COUNTIF($B$5:$B$104,B69)&gt;1,"不通过：编码重复","通过")))</x:f>
      </x:c>
    </x:row>
    <x:row r="70">
      <x:c r="A70" s="22"/>
      <x:c r="B70" s="22"/>
      <x:c r="C70" s="22"/>
      <x:c r="D70" s="22"/>
      <x:c r="E70" s="22"/>
      <x:c r="F70" s="31"/>
      <x:c r="G70" s="31"/>
      <x:c r="H70" s="22"/>
      <x:c r="I70" s="22"/>
      <x:c r="J70" s="28" t="str">
        <x:f>IF(COUNTA(A70:I70)=0,"",IF(OR(A70="",B70="",C70="",E70="",H70=""),"不通过：缺少必填项",IF(COUNTIF($B$5:$B$104,B70)&gt;1,"不通过：编码重复","通过")))</x:f>
      </x:c>
    </x:row>
    <x:row r="71">
      <x:c r="A71" s="22"/>
      <x:c r="B71" s="22"/>
      <x:c r="C71" s="22"/>
      <x:c r="D71" s="22"/>
      <x:c r="E71" s="22"/>
      <x:c r="F71" s="31"/>
      <x:c r="G71" s="31"/>
      <x:c r="H71" s="22"/>
      <x:c r="I71" s="22"/>
      <x:c r="J71" s="28" t="str">
        <x:f>IF(COUNTA(A71:I71)=0,"",IF(OR(A71="",B71="",C71="",E71="",H71=""),"不通过：缺少必填项",IF(COUNTIF($B$5:$B$104,B71)&gt;1,"不通过：编码重复","通过")))</x:f>
      </x:c>
    </x:row>
    <x:row r="72">
      <x:c r="A72" s="22"/>
      <x:c r="B72" s="22"/>
      <x:c r="C72" s="22"/>
      <x:c r="D72" s="22"/>
      <x:c r="E72" s="22"/>
      <x:c r="F72" s="31"/>
      <x:c r="G72" s="31"/>
      <x:c r="H72" s="22"/>
      <x:c r="I72" s="22"/>
      <x:c r="J72" s="28" t="str">
        <x:f>IF(COUNTA(A72:I72)=0,"",IF(OR(A72="",B72="",C72="",E72="",H72=""),"不通过：缺少必填项",IF(COUNTIF($B$5:$B$104,B72)&gt;1,"不通过：编码重复","通过")))</x:f>
      </x:c>
    </x:row>
    <x:row r="73">
      <x:c r="A73" s="22"/>
      <x:c r="B73" s="22"/>
      <x:c r="C73" s="22"/>
      <x:c r="D73" s="22"/>
      <x:c r="E73" s="22"/>
      <x:c r="F73" s="31"/>
      <x:c r="G73" s="31"/>
      <x:c r="H73" s="22"/>
      <x:c r="I73" s="22"/>
      <x:c r="J73" s="28" t="str">
        <x:f>IF(COUNTA(A73:I73)=0,"",IF(OR(A73="",B73="",C73="",E73="",H73=""),"不通过：缺少必填项",IF(COUNTIF($B$5:$B$104,B73)&gt;1,"不通过：编码重复","通过")))</x:f>
      </x:c>
    </x:row>
    <x:row r="74">
      <x:c r="A74" s="22"/>
      <x:c r="B74" s="22"/>
      <x:c r="C74" s="22"/>
      <x:c r="D74" s="22"/>
      <x:c r="E74" s="22"/>
      <x:c r="F74" s="31"/>
      <x:c r="G74" s="31"/>
      <x:c r="H74" s="22"/>
      <x:c r="I74" s="22"/>
      <x:c r="J74" s="28" t="str">
        <x:f>IF(COUNTA(A74:I74)=0,"",IF(OR(A74="",B74="",C74="",E74="",H74=""),"不通过：缺少必填项",IF(COUNTIF($B$5:$B$104,B74)&gt;1,"不通过：编码重复","通过")))</x:f>
      </x:c>
    </x:row>
    <x:row r="75">
      <x:c r="A75" s="22"/>
      <x:c r="B75" s="22"/>
      <x:c r="C75" s="22"/>
      <x:c r="D75" s="22"/>
      <x:c r="E75" s="22"/>
      <x:c r="F75" s="31"/>
      <x:c r="G75" s="31"/>
      <x:c r="H75" s="22"/>
      <x:c r="I75" s="22"/>
      <x:c r="J75" s="28" t="str">
        <x:f>IF(COUNTA(A75:I75)=0,"",IF(OR(A75="",B75="",C75="",E75="",H75=""),"不通过：缺少必填项",IF(COUNTIF($B$5:$B$104,B75)&gt;1,"不通过：编码重复","通过")))</x:f>
      </x:c>
    </x:row>
    <x:row r="76">
      <x:c r="A76" s="22"/>
      <x:c r="B76" s="22"/>
      <x:c r="C76" s="22"/>
      <x:c r="D76" s="22"/>
      <x:c r="E76" s="22"/>
      <x:c r="F76" s="31"/>
      <x:c r="G76" s="31"/>
      <x:c r="H76" s="22"/>
      <x:c r="I76" s="22"/>
      <x:c r="J76" s="28" t="str">
        <x:f>IF(COUNTA(A76:I76)=0,"",IF(OR(A76="",B76="",C76="",E76="",H76=""),"不通过：缺少必填项",IF(COUNTIF($B$5:$B$104,B76)&gt;1,"不通过：编码重复","通过")))</x:f>
      </x:c>
    </x:row>
    <x:row r="77">
      <x:c r="A77" s="22"/>
      <x:c r="B77" s="22"/>
      <x:c r="C77" s="22"/>
      <x:c r="D77" s="22"/>
      <x:c r="E77" s="22"/>
      <x:c r="F77" s="31"/>
      <x:c r="G77" s="31"/>
      <x:c r="H77" s="22"/>
      <x:c r="I77" s="22"/>
      <x:c r="J77" s="28" t="str">
        <x:f>IF(COUNTA(A77:I77)=0,"",IF(OR(A77="",B77="",C77="",E77="",H77=""),"不通过：缺少必填项",IF(COUNTIF($B$5:$B$104,B77)&gt;1,"不通过：编码重复","通过")))</x:f>
      </x:c>
    </x:row>
    <x:row r="78">
      <x:c r="A78" s="22"/>
      <x:c r="B78" s="22"/>
      <x:c r="C78" s="22"/>
      <x:c r="D78" s="22"/>
      <x:c r="E78" s="22"/>
      <x:c r="F78" s="31"/>
      <x:c r="G78" s="31"/>
      <x:c r="H78" s="22"/>
      <x:c r="I78" s="22"/>
      <x:c r="J78" s="28" t="str">
        <x:f>IF(COUNTA(A78:I78)=0,"",IF(OR(A78="",B78="",C78="",E78="",H78=""),"不通过：缺少必填项",IF(COUNTIF($B$5:$B$104,B78)&gt;1,"不通过：编码重复","通过")))</x:f>
      </x:c>
    </x:row>
    <x:row r="79">
      <x:c r="A79" s="22"/>
      <x:c r="B79" s="22"/>
      <x:c r="C79" s="22"/>
      <x:c r="D79" s="22"/>
      <x:c r="E79" s="22"/>
      <x:c r="F79" s="31"/>
      <x:c r="G79" s="31"/>
      <x:c r="H79" s="22"/>
      <x:c r="I79" s="22"/>
      <x:c r="J79" s="28" t="str">
        <x:f>IF(COUNTA(A79:I79)=0,"",IF(OR(A79="",B79="",C79="",E79="",H79=""),"不通过：缺少必填项",IF(COUNTIF($B$5:$B$104,B79)&gt;1,"不通过：编码重复","通过")))</x:f>
      </x:c>
    </x:row>
    <x:row r="80">
      <x:c r="A80" s="22"/>
      <x:c r="B80" s="22"/>
      <x:c r="C80" s="22"/>
      <x:c r="D80" s="22"/>
      <x:c r="E80" s="22"/>
      <x:c r="F80" s="31"/>
      <x:c r="G80" s="31"/>
      <x:c r="H80" s="22"/>
      <x:c r="I80" s="22"/>
      <x:c r="J80" s="28" t="str">
        <x:f>IF(COUNTA(A80:I80)=0,"",IF(OR(A80="",B80="",C80="",E80="",H80=""),"不通过：缺少必填项",IF(COUNTIF($B$5:$B$104,B80)&gt;1,"不通过：编码重复","通过")))</x:f>
      </x:c>
    </x:row>
    <x:row r="81">
      <x:c r="A81" s="22"/>
      <x:c r="B81" s="22"/>
      <x:c r="C81" s="22"/>
      <x:c r="D81" s="22"/>
      <x:c r="E81" s="22"/>
      <x:c r="F81" s="31"/>
      <x:c r="G81" s="31"/>
      <x:c r="H81" s="22"/>
      <x:c r="I81" s="22"/>
      <x:c r="J81" s="28" t="str">
        <x:f>IF(COUNTA(A81:I81)=0,"",IF(OR(A81="",B81="",C81="",E81="",H81=""),"不通过：缺少必填项",IF(COUNTIF($B$5:$B$104,B81)&gt;1,"不通过：编码重复","通过")))</x:f>
      </x:c>
    </x:row>
    <x:row r="82">
      <x:c r="A82" s="22"/>
      <x:c r="B82" s="22"/>
      <x:c r="C82" s="22"/>
      <x:c r="D82" s="22"/>
      <x:c r="E82" s="22"/>
      <x:c r="F82" s="31"/>
      <x:c r="G82" s="31"/>
      <x:c r="H82" s="22"/>
      <x:c r="I82" s="22"/>
      <x:c r="J82" s="28" t="str">
        <x:f>IF(COUNTA(A82:I82)=0,"",IF(OR(A82="",B82="",C82="",E82="",H82=""),"不通过：缺少必填项",IF(COUNTIF($B$5:$B$104,B82)&gt;1,"不通过：编码重复","通过")))</x:f>
      </x:c>
    </x:row>
    <x:row r="83">
      <x:c r="A83" s="22"/>
      <x:c r="B83" s="22"/>
      <x:c r="C83" s="22"/>
      <x:c r="D83" s="22"/>
      <x:c r="E83" s="22"/>
      <x:c r="F83" s="31"/>
      <x:c r="G83" s="31"/>
      <x:c r="H83" s="22"/>
      <x:c r="I83" s="22"/>
      <x:c r="J83" s="28" t="str">
        <x:f>IF(COUNTA(A83:I83)=0,"",IF(OR(A83="",B83="",C83="",E83="",H83=""),"不通过：缺少必填项",IF(COUNTIF($B$5:$B$104,B83)&gt;1,"不通过：编码重复","通过")))</x:f>
      </x:c>
    </x:row>
    <x:row r="84">
      <x:c r="A84" s="22"/>
      <x:c r="B84" s="22"/>
      <x:c r="C84" s="22"/>
      <x:c r="D84" s="22"/>
      <x:c r="E84" s="22"/>
      <x:c r="F84" s="31"/>
      <x:c r="G84" s="31"/>
      <x:c r="H84" s="22"/>
      <x:c r="I84" s="22"/>
      <x:c r="J84" s="28" t="str">
        <x:f>IF(COUNTA(A84:I84)=0,"",IF(OR(A84="",B84="",C84="",E84="",H84=""),"不通过：缺少必填项",IF(COUNTIF($B$5:$B$104,B84)&gt;1,"不通过：编码重复","通过")))</x:f>
      </x:c>
    </x:row>
    <x:row r="85">
      <x:c r="A85" s="22"/>
      <x:c r="B85" s="22"/>
      <x:c r="C85" s="22"/>
      <x:c r="D85" s="22"/>
      <x:c r="E85" s="22"/>
      <x:c r="F85" s="31"/>
      <x:c r="G85" s="31"/>
      <x:c r="H85" s="22"/>
      <x:c r="I85" s="22"/>
      <x:c r="J85" s="28" t="str">
        <x:f>IF(COUNTA(A85:I85)=0,"",IF(OR(A85="",B85="",C85="",E85="",H85=""),"不通过：缺少必填项",IF(COUNTIF($B$5:$B$104,B85)&gt;1,"不通过：编码重复","通过")))</x:f>
      </x:c>
    </x:row>
    <x:row r="86">
      <x:c r="A86" s="22"/>
      <x:c r="B86" s="22"/>
      <x:c r="C86" s="22"/>
      <x:c r="D86" s="22"/>
      <x:c r="E86" s="22"/>
      <x:c r="F86" s="31"/>
      <x:c r="G86" s="31"/>
      <x:c r="H86" s="22"/>
      <x:c r="I86" s="22"/>
      <x:c r="J86" s="28" t="str">
        <x:f>IF(COUNTA(A86:I86)=0,"",IF(OR(A86="",B86="",C86="",E86="",H86=""),"不通过：缺少必填项",IF(COUNTIF($B$5:$B$104,B86)&gt;1,"不通过：编码重复","通过")))</x:f>
      </x:c>
    </x:row>
    <x:row r="87">
      <x:c r="A87" s="22"/>
      <x:c r="B87" s="22"/>
      <x:c r="C87" s="22"/>
      <x:c r="D87" s="22"/>
      <x:c r="E87" s="22"/>
      <x:c r="F87" s="31"/>
      <x:c r="G87" s="31"/>
      <x:c r="H87" s="22"/>
      <x:c r="I87" s="22"/>
      <x:c r="J87" s="28" t="str">
        <x:f>IF(COUNTA(A87:I87)=0,"",IF(OR(A87="",B87="",C87="",E87="",H87=""),"不通过：缺少必填项",IF(COUNTIF($B$5:$B$104,B87)&gt;1,"不通过：编码重复","通过")))</x:f>
      </x:c>
    </x:row>
    <x:row r="88">
      <x:c r="A88" s="22"/>
      <x:c r="B88" s="22"/>
      <x:c r="C88" s="22"/>
      <x:c r="D88" s="22"/>
      <x:c r="E88" s="22"/>
      <x:c r="F88" s="31"/>
      <x:c r="G88" s="31"/>
      <x:c r="H88" s="22"/>
      <x:c r="I88" s="22"/>
      <x:c r="J88" s="28" t="str">
        <x:f>IF(COUNTA(A88:I88)=0,"",IF(OR(A88="",B88="",C88="",E88="",H88=""),"不通过：缺少必填项",IF(COUNTIF($B$5:$B$104,B88)&gt;1,"不通过：编码重复","通过")))</x:f>
      </x:c>
    </x:row>
    <x:row r="89">
      <x:c r="A89" s="22"/>
      <x:c r="B89" s="22"/>
      <x:c r="C89" s="22"/>
      <x:c r="D89" s="22"/>
      <x:c r="E89" s="22"/>
      <x:c r="F89" s="31"/>
      <x:c r="G89" s="31"/>
      <x:c r="H89" s="22"/>
      <x:c r="I89" s="22"/>
      <x:c r="J89" s="28" t="str">
        <x:f>IF(COUNTA(A89:I89)=0,"",IF(OR(A89="",B89="",C89="",E89="",H89=""),"不通过：缺少必填项",IF(COUNTIF($B$5:$B$104,B89)&gt;1,"不通过：编码重复","通过")))</x:f>
      </x:c>
    </x:row>
    <x:row r="90">
      <x:c r="A90" s="22"/>
      <x:c r="B90" s="22"/>
      <x:c r="C90" s="22"/>
      <x:c r="D90" s="22"/>
      <x:c r="E90" s="22"/>
      <x:c r="F90" s="31"/>
      <x:c r="G90" s="31"/>
      <x:c r="H90" s="22"/>
      <x:c r="I90" s="22"/>
      <x:c r="J90" s="28" t="str">
        <x:f>IF(COUNTA(A90:I90)=0,"",IF(OR(A90="",B90="",C90="",E90="",H90=""),"不通过：缺少必填项",IF(COUNTIF($B$5:$B$104,B90)&gt;1,"不通过：编码重复","通过")))</x:f>
      </x:c>
    </x:row>
    <x:row r="91">
      <x:c r="A91" s="22"/>
      <x:c r="B91" s="22"/>
      <x:c r="C91" s="22"/>
      <x:c r="D91" s="22"/>
      <x:c r="E91" s="22"/>
      <x:c r="F91" s="31"/>
      <x:c r="G91" s="31"/>
      <x:c r="H91" s="22"/>
      <x:c r="I91" s="22"/>
      <x:c r="J91" s="28" t="str">
        <x:f>IF(COUNTA(A91:I91)=0,"",IF(OR(A91="",B91="",C91="",E91="",H91=""),"不通过：缺少必填项",IF(COUNTIF($B$5:$B$104,B91)&gt;1,"不通过：编码重复","通过")))</x:f>
      </x:c>
    </x:row>
    <x:row r="92">
      <x:c r="A92" s="22"/>
      <x:c r="B92" s="22"/>
      <x:c r="C92" s="22"/>
      <x:c r="D92" s="22"/>
      <x:c r="E92" s="22"/>
      <x:c r="F92" s="31"/>
      <x:c r="G92" s="31"/>
      <x:c r="H92" s="22"/>
      <x:c r="I92" s="22"/>
      <x:c r="J92" s="28" t="str">
        <x:f>IF(COUNTA(A92:I92)=0,"",IF(OR(A92="",B92="",C92="",E92="",H92=""),"不通过：缺少必填项",IF(COUNTIF($B$5:$B$104,B92)&gt;1,"不通过：编码重复","通过")))</x:f>
      </x:c>
    </x:row>
    <x:row r="93">
      <x:c r="A93" s="22"/>
      <x:c r="B93" s="22"/>
      <x:c r="C93" s="22"/>
      <x:c r="D93" s="22"/>
      <x:c r="E93" s="22"/>
      <x:c r="F93" s="31"/>
      <x:c r="G93" s="31"/>
      <x:c r="H93" s="22"/>
      <x:c r="I93" s="22"/>
      <x:c r="J93" s="28" t="str">
        <x:f>IF(COUNTA(A93:I93)=0,"",IF(OR(A93="",B93="",C93="",E93="",H93=""),"不通过：缺少必填项",IF(COUNTIF($B$5:$B$104,B93)&gt;1,"不通过：编码重复","通过")))</x:f>
      </x:c>
    </x:row>
    <x:row r="94">
      <x:c r="A94" s="22"/>
      <x:c r="B94" s="22"/>
      <x:c r="C94" s="22"/>
      <x:c r="D94" s="22"/>
      <x:c r="E94" s="22"/>
      <x:c r="F94" s="31"/>
      <x:c r="G94" s="31"/>
      <x:c r="H94" s="22"/>
      <x:c r="I94" s="22"/>
      <x:c r="J94" s="28" t="str">
        <x:f>IF(COUNTA(A94:I94)=0,"",IF(OR(A94="",B94="",C94="",E94="",H94=""),"不通过：缺少必填项",IF(COUNTIF($B$5:$B$104,B94)&gt;1,"不通过：编码重复","通过")))</x:f>
      </x:c>
    </x:row>
    <x:row r="95">
      <x:c r="A95" s="22"/>
      <x:c r="B95" s="22"/>
      <x:c r="C95" s="22"/>
      <x:c r="D95" s="22"/>
      <x:c r="E95" s="22"/>
      <x:c r="F95" s="31"/>
      <x:c r="G95" s="31"/>
      <x:c r="H95" s="22"/>
      <x:c r="I95" s="22"/>
      <x:c r="J95" s="28" t="str">
        <x:f>IF(COUNTA(A95:I95)=0,"",IF(OR(A95="",B95="",C95="",E95="",H95=""),"不通过：缺少必填项",IF(COUNTIF($B$5:$B$104,B95)&gt;1,"不通过：编码重复","通过")))</x:f>
      </x:c>
    </x:row>
    <x:row r="96">
      <x:c r="A96" s="22"/>
      <x:c r="B96" s="22"/>
      <x:c r="C96" s="22"/>
      <x:c r="D96" s="22"/>
      <x:c r="E96" s="22"/>
      <x:c r="F96" s="31"/>
      <x:c r="G96" s="31"/>
      <x:c r="H96" s="22"/>
      <x:c r="I96" s="22"/>
      <x:c r="J96" s="28" t="str">
        <x:f>IF(COUNTA(A96:I96)=0,"",IF(OR(A96="",B96="",C96="",E96="",H96=""),"不通过：缺少必填项",IF(COUNTIF($B$5:$B$104,B96)&gt;1,"不通过：编码重复","通过")))</x:f>
      </x:c>
    </x:row>
    <x:row r="97">
      <x:c r="A97" s="22"/>
      <x:c r="B97" s="22"/>
      <x:c r="C97" s="22"/>
      <x:c r="D97" s="22"/>
      <x:c r="E97" s="22"/>
      <x:c r="F97" s="31"/>
      <x:c r="G97" s="31"/>
      <x:c r="H97" s="22"/>
      <x:c r="I97" s="22"/>
      <x:c r="J97" s="28" t="str">
        <x:f>IF(COUNTA(A97:I97)=0,"",IF(OR(A97="",B97="",C97="",E97="",H97=""),"不通过：缺少必填项",IF(COUNTIF($B$5:$B$104,B97)&gt;1,"不通过：编码重复","通过")))</x:f>
      </x:c>
    </x:row>
    <x:row r="98">
      <x:c r="A98" s="22"/>
      <x:c r="B98" s="22"/>
      <x:c r="C98" s="22"/>
      <x:c r="D98" s="22"/>
      <x:c r="E98" s="22"/>
      <x:c r="F98" s="31"/>
      <x:c r="G98" s="31"/>
      <x:c r="H98" s="22"/>
      <x:c r="I98" s="22"/>
      <x:c r="J98" s="28" t="str">
        <x:f>IF(COUNTA(A98:I98)=0,"",IF(OR(A98="",B98="",C98="",E98="",H98=""),"不通过：缺少必填项",IF(COUNTIF($B$5:$B$104,B98)&gt;1,"不通过：编码重复","通过")))</x:f>
      </x:c>
    </x:row>
    <x:row r="99">
      <x:c r="A99" s="22"/>
      <x:c r="B99" s="22"/>
      <x:c r="C99" s="22"/>
      <x:c r="D99" s="22"/>
      <x:c r="E99" s="22"/>
      <x:c r="F99" s="31"/>
      <x:c r="G99" s="31"/>
      <x:c r="H99" s="22"/>
      <x:c r="I99" s="22"/>
      <x:c r="J99" s="28" t="str">
        <x:f>IF(COUNTA(A99:I99)=0,"",IF(OR(A99="",B99="",C99="",E99="",H99=""),"不通过：缺少必填项",IF(COUNTIF($B$5:$B$104,B99)&gt;1,"不通过：编码重复","通过")))</x:f>
      </x:c>
    </x:row>
    <x:row r="100">
      <x:c r="A100" s="22"/>
      <x:c r="B100" s="22"/>
      <x:c r="C100" s="22"/>
      <x:c r="D100" s="22"/>
      <x:c r="E100" s="22"/>
      <x:c r="F100" s="31"/>
      <x:c r="G100" s="31"/>
      <x:c r="H100" s="22"/>
      <x:c r="I100" s="22"/>
      <x:c r="J100" s="28" t="str">
        <x:f>IF(COUNTA(A100:I100)=0,"",IF(OR(A100="",B100="",C100="",E100="",H100=""),"不通过：缺少必填项",IF(COUNTIF($B$5:$B$104,B100)&gt;1,"不通过：编码重复","通过")))</x:f>
      </x:c>
    </x:row>
    <x:row r="101">
      <x:c r="A101" s="22"/>
      <x:c r="B101" s="22"/>
      <x:c r="C101" s="22"/>
      <x:c r="D101" s="22"/>
      <x:c r="E101" s="22"/>
      <x:c r="F101" s="31"/>
      <x:c r="G101" s="31"/>
      <x:c r="H101" s="22"/>
      <x:c r="I101" s="22"/>
      <x:c r="J101" s="28" t="str">
        <x:f>IF(COUNTA(A101:I101)=0,"",IF(OR(A101="",B101="",C101="",E101="",H101=""),"不通过：缺少必填项",IF(COUNTIF($B$5:$B$104,B101)&gt;1,"不通过：编码重复","通过")))</x:f>
      </x:c>
    </x:row>
    <x:row r="102">
      <x:c r="A102" s="22"/>
      <x:c r="B102" s="22"/>
      <x:c r="C102" s="22"/>
      <x:c r="D102" s="22"/>
      <x:c r="E102" s="22"/>
      <x:c r="F102" s="31"/>
      <x:c r="G102" s="31"/>
      <x:c r="H102" s="22"/>
      <x:c r="I102" s="22"/>
      <x:c r="J102" s="28" t="str">
        <x:f>IF(COUNTA(A102:I102)=0,"",IF(OR(A102="",B102="",C102="",E102="",H102=""),"不通过：缺少必填项",IF(COUNTIF($B$5:$B$104,B102)&gt;1,"不通过：编码重复","通过")))</x:f>
      </x:c>
    </x:row>
    <x:row r="103">
      <x:c r="A103" s="22"/>
      <x:c r="B103" s="22"/>
      <x:c r="C103" s="22"/>
      <x:c r="D103" s="22"/>
      <x:c r="E103" s="22"/>
      <x:c r="F103" s="31"/>
      <x:c r="G103" s="31"/>
      <x:c r="H103" s="22"/>
      <x:c r="I103" s="22"/>
      <x:c r="J103" s="28" t="str">
        <x:f>IF(COUNTA(A103:I103)=0,"",IF(OR(A103="",B103="",C103="",E103="",H103=""),"不通过：缺少必填项",IF(COUNTIF($B$5:$B$104,B103)&gt;1,"不通过：编码重复","通过")))</x:f>
      </x:c>
    </x:row>
    <x:row r="104">
      <x:c r="A104" s="23"/>
      <x:c r="B104" s="23"/>
      <x:c r="C104" s="23"/>
      <x:c r="D104" s="23"/>
      <x:c r="E104" s="23"/>
      <x:c r="F104" s="32"/>
      <x:c r="G104" s="32"/>
      <x:c r="H104" s="23"/>
      <x:c r="I104" s="23"/>
      <x:c r="J104" s="29" t="str">
        <x:f>IF(COUNTA(A104:I104)=0,"",IF(OR(A104="",B104="",C104="",E104="",H104=""),"不通过：缺少必填项",IF(COUNTIF($B$5:$B$104,B104)&gt;1,"不通过：编码重复","通过")))</x:f>
      </x:c>
    </x:row>
  </x:sheetData>
  <x:mergeCells>
    <x:mergeCell ref="A1:J1"/>
    <x:mergeCell ref="A2:J2"/>
  </x:mergeCells>
  <x:conditionalFormatting sqref="J5:J104">
    <x:cfRule type="beginsWith" dxfId="12" priority="1" operator="beginsWith" text="不通过"/>
    <x:cfRule type="cellIs" dxfId="13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E5:E104">
      <x:formula1>"启用,停用"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18" hidden="0" customWidth="1"/>
    <x:col min="17" max="17" width="15" hidden="0" customWidth="1"/>
    <x:col min="18" max="18" width="26" hidden="0" customWidth="1"/>
    <x:col min="19" max="19" width="32" hidden="0" customWidth="1"/>
  </x:cols>
  <x:sheetData>
    <x:row r="1" ht="32" customHeight="1">
      <x:c r="A1" s="3" t="str">
        <x:v>参考范围、有效范围与危急值规则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2" customHeight="1">
      <x:c r="A2" s="7" t="str">
        <x:v>由检验科签字审定。按项目、标本、性别和年龄段维护；单位必须与项目结果单位一致。空白危急值只能由检验科明确确认“不适用”，不能由实施人员猜测。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2" t="str">
        <x:v>数据状态*</x:v>
      </x:c>
      <x:c r="B4" s="12" t="str">
        <x:v>项目编码*</x:v>
      </x:c>
      <x:c r="C4" s="12" t="str">
        <x:v>标本类型编码*</x:v>
      </x:c>
      <x:c r="D4" s="12" t="str">
        <x:v>性别*</x:v>
      </x:c>
      <x:c r="E4" s="12" t="str">
        <x:v>最小年龄</x:v>
      </x:c>
      <x:c r="F4" s="12" t="str">
        <x:v>最大年龄</x:v>
      </x:c>
      <x:c r="G4" s="12" t="str">
        <x:v>年龄单位*</x:v>
      </x:c>
      <x:c r="H4" s="12" t="str">
        <x:v>正常低值</x:v>
      </x:c>
      <x:c r="I4" s="12" t="str">
        <x:v>正常高值</x:v>
      </x:c>
      <x:c r="J4" s="12" t="str">
        <x:v>危急低值</x:v>
      </x:c>
      <x:c r="K4" s="12" t="str">
        <x:v>危急高值</x:v>
      </x:c>
      <x:c r="L4" s="12" t="str">
        <x:v>单位编码*</x:v>
      </x:c>
      <x:c r="M4" s="12" t="str">
        <x:v>危急值适用*</x:v>
      </x:c>
      <x:c r="N4" s="12" t="str">
        <x:v>生效日期*</x:v>
      </x:c>
      <x:c r="O4" s="12" t="str">
        <x:v>失效日期</x:v>
      </x:c>
      <x:c r="P4" s="12" t="str">
        <x:v>审核人*</x:v>
      </x:c>
      <x:c r="Q4" s="12" t="str">
        <x:v>审核日期*</x:v>
      </x:c>
      <x:c r="R4" s="12" t="str">
        <x:v>依据/版本*</x:v>
      </x:c>
      <x:c r="S4" s="12" t="str">
        <x:v>校验结果</x:v>
      </x:c>
    </x:row>
    <x:row r="5">
      <x:c r="A5" s="21"/>
      <x:c r="B5" s="21"/>
      <x:c r="C5" s="21"/>
      <x:c r="D5" s="21"/>
      <x:c r="E5" s="36"/>
      <x:c r="F5" s="36"/>
      <x:c r="G5" s="21"/>
      <x:c r="H5" s="36"/>
      <x:c r="I5" s="36"/>
      <x:c r="J5" s="36"/>
      <x:c r="K5" s="36"/>
      <x:c r="L5" s="21"/>
      <x:c r="M5" s="21"/>
      <x:c r="N5" s="30"/>
      <x:c r="O5" s="30"/>
      <x:c r="P5" s="21"/>
      <x:c r="Q5" s="30"/>
      <x:c r="R5" s="21"/>
      <x:c r="S5" s="27" t="str">
        <x:f>IF(COUNTA(A5:R5)=0,"",IF(OR(A5="",B5="",C5="",D5="",G5="",L5="",M5="",N5="",P5="",Q5="",R5=""),"不通过：缺少必填项",IF(AND(E5&lt;&gt;"",F5&lt;&gt;"",E5&gt;F5),"不通过：年龄范围倒置",IF(AND(H5&lt;&gt;"",I5&lt;&gt;"",H5&gt;I5),"不通过：正常范围倒置",IF(AND(M5="适用",OR(J5="",K5="")),"不通过：危急值未完整",IF(AND(J5&lt;&gt;"",K5&lt;&gt;"",J5&gt;K5),"不通过：危急范围倒置","通过"))))))</x:f>
      </x:c>
    </x:row>
    <x:row r="6">
      <x:c r="A6" s="22"/>
      <x:c r="B6" s="22"/>
      <x:c r="C6" s="22"/>
      <x:c r="D6" s="22"/>
      <x:c r="E6" s="37"/>
      <x:c r="F6" s="37"/>
      <x:c r="G6" s="22"/>
      <x:c r="H6" s="37"/>
      <x:c r="I6" s="37"/>
      <x:c r="J6" s="37"/>
      <x:c r="K6" s="37"/>
      <x:c r="L6" s="22"/>
      <x:c r="M6" s="22"/>
      <x:c r="N6" s="31"/>
      <x:c r="O6" s="31"/>
      <x:c r="P6" s="22"/>
      <x:c r="Q6" s="31"/>
      <x:c r="R6" s="22"/>
      <x:c r="S6" s="28" t="str">
        <x:f>IF(COUNTA(A6:R6)=0,"",IF(OR(A6="",B6="",C6="",D6="",G6="",L6="",M6="",N6="",P6="",Q6="",R6=""),"不通过：缺少必填项",IF(AND(E6&lt;&gt;"",F6&lt;&gt;"",E6&gt;F6),"不通过：年龄范围倒置",IF(AND(H6&lt;&gt;"",I6&lt;&gt;"",H6&gt;I6),"不通过：正常范围倒置",IF(AND(M6="适用",OR(J6="",K6="")),"不通过：危急值未完整",IF(AND(J6&lt;&gt;"",K6&lt;&gt;"",J6&gt;K6),"不通过：危急范围倒置","通过"))))))</x:f>
      </x:c>
    </x:row>
    <x:row r="7">
      <x:c r="A7" s="22"/>
      <x:c r="B7" s="22"/>
      <x:c r="C7" s="22"/>
      <x:c r="D7" s="22"/>
      <x:c r="E7" s="37"/>
      <x:c r="F7" s="37"/>
      <x:c r="G7" s="22"/>
      <x:c r="H7" s="37"/>
      <x:c r="I7" s="37"/>
      <x:c r="J7" s="37"/>
      <x:c r="K7" s="37"/>
      <x:c r="L7" s="22"/>
      <x:c r="M7" s="22"/>
      <x:c r="N7" s="31"/>
      <x:c r="O7" s="31"/>
      <x:c r="P7" s="22"/>
      <x:c r="Q7" s="31"/>
      <x:c r="R7" s="22"/>
      <x:c r="S7" s="28" t="str">
        <x:f>IF(COUNTA(A7:R7)=0,"",IF(OR(A7="",B7="",C7="",D7="",G7="",L7="",M7="",N7="",P7="",Q7="",R7=""),"不通过：缺少必填项",IF(AND(E7&lt;&gt;"",F7&lt;&gt;"",E7&gt;F7),"不通过：年龄范围倒置",IF(AND(H7&lt;&gt;"",I7&lt;&gt;"",H7&gt;I7),"不通过：正常范围倒置",IF(AND(M7="适用",OR(J7="",K7="")),"不通过：危急值未完整",IF(AND(J7&lt;&gt;"",K7&lt;&gt;"",J7&gt;K7),"不通过：危急范围倒置","通过"))))))</x:f>
      </x:c>
    </x:row>
    <x:row r="8">
      <x:c r="A8" s="22"/>
      <x:c r="B8" s="22"/>
      <x:c r="C8" s="22"/>
      <x:c r="D8" s="22"/>
      <x:c r="E8" s="37"/>
      <x:c r="F8" s="37"/>
      <x:c r="G8" s="22"/>
      <x:c r="H8" s="37"/>
      <x:c r="I8" s="37"/>
      <x:c r="J8" s="37"/>
      <x:c r="K8" s="37"/>
      <x:c r="L8" s="22"/>
      <x:c r="M8" s="22"/>
      <x:c r="N8" s="31"/>
      <x:c r="O8" s="31"/>
      <x:c r="P8" s="22"/>
      <x:c r="Q8" s="31"/>
      <x:c r="R8" s="22"/>
      <x:c r="S8" s="28" t="str">
        <x:f>IF(COUNTA(A8:R8)=0,"",IF(OR(A8="",B8="",C8="",D8="",G8="",L8="",M8="",N8="",P8="",Q8="",R8=""),"不通过：缺少必填项",IF(AND(E8&lt;&gt;"",F8&lt;&gt;"",E8&gt;F8),"不通过：年龄范围倒置",IF(AND(H8&lt;&gt;"",I8&lt;&gt;"",H8&gt;I8),"不通过：正常范围倒置",IF(AND(M8="适用",OR(J8="",K8="")),"不通过：危急值未完整",IF(AND(J8&lt;&gt;"",K8&lt;&gt;"",J8&gt;K8),"不通过：危急范围倒置","通过"))))))</x:f>
      </x:c>
    </x:row>
    <x:row r="9">
      <x:c r="A9" s="22"/>
      <x:c r="B9" s="22"/>
      <x:c r="C9" s="22"/>
      <x:c r="D9" s="22"/>
      <x:c r="E9" s="37"/>
      <x:c r="F9" s="37"/>
      <x:c r="G9" s="22"/>
      <x:c r="H9" s="37"/>
      <x:c r="I9" s="37"/>
      <x:c r="J9" s="37"/>
      <x:c r="K9" s="37"/>
      <x:c r="L9" s="22"/>
      <x:c r="M9" s="22"/>
      <x:c r="N9" s="31"/>
      <x:c r="O9" s="31"/>
      <x:c r="P9" s="22"/>
      <x:c r="Q9" s="31"/>
      <x:c r="R9" s="22"/>
      <x:c r="S9" s="28" t="str">
        <x:f>IF(COUNTA(A9:R9)=0,"",IF(OR(A9="",B9="",C9="",D9="",G9="",L9="",M9="",N9="",P9="",Q9="",R9=""),"不通过：缺少必填项",IF(AND(E9&lt;&gt;"",F9&lt;&gt;"",E9&gt;F9),"不通过：年龄范围倒置",IF(AND(H9&lt;&gt;"",I9&lt;&gt;"",H9&gt;I9),"不通过：正常范围倒置",IF(AND(M9="适用",OR(J9="",K9="")),"不通过：危急值未完整",IF(AND(J9&lt;&gt;"",K9&lt;&gt;"",J9&gt;K9),"不通过：危急范围倒置","通过"))))))</x:f>
      </x:c>
    </x:row>
    <x:row r="10">
      <x:c r="A10" s="22"/>
      <x:c r="B10" s="22"/>
      <x:c r="C10" s="22"/>
      <x:c r="D10" s="22"/>
      <x:c r="E10" s="37"/>
      <x:c r="F10" s="37"/>
      <x:c r="G10" s="22"/>
      <x:c r="H10" s="37"/>
      <x:c r="I10" s="37"/>
      <x:c r="J10" s="37"/>
      <x:c r="K10" s="37"/>
      <x:c r="L10" s="22"/>
      <x:c r="M10" s="22"/>
      <x:c r="N10" s="31"/>
      <x:c r="O10" s="31"/>
      <x:c r="P10" s="22"/>
      <x:c r="Q10" s="31"/>
      <x:c r="R10" s="22"/>
      <x:c r="S10" s="28" t="str">
        <x:f>IF(COUNTA(A10:R10)=0,"",IF(OR(A10="",B10="",C10="",D10="",G10="",L10="",M10="",N10="",P10="",Q10="",R10=""),"不通过：缺少必填项",IF(AND(E10&lt;&gt;"",F10&lt;&gt;"",E10&gt;F10),"不通过：年龄范围倒置",IF(AND(H10&lt;&gt;"",I10&lt;&gt;"",H10&gt;I10),"不通过：正常范围倒置",IF(AND(M10="适用",OR(J10="",K10="")),"不通过：危急值未完整",IF(AND(J10&lt;&gt;"",K10&lt;&gt;"",J10&gt;K10),"不通过：危急范围倒置","通过"))))))</x:f>
      </x:c>
    </x:row>
    <x:row r="11">
      <x:c r="A11" s="22"/>
      <x:c r="B11" s="22"/>
      <x:c r="C11" s="22"/>
      <x:c r="D11" s="22"/>
      <x:c r="E11" s="37"/>
      <x:c r="F11" s="37"/>
      <x:c r="G11" s="22"/>
      <x:c r="H11" s="37"/>
      <x:c r="I11" s="37"/>
      <x:c r="J11" s="37"/>
      <x:c r="K11" s="37"/>
      <x:c r="L11" s="22"/>
      <x:c r="M11" s="22"/>
      <x:c r="N11" s="31"/>
      <x:c r="O11" s="31"/>
      <x:c r="P11" s="22"/>
      <x:c r="Q11" s="31"/>
      <x:c r="R11" s="22"/>
      <x:c r="S11" s="28" t="str">
        <x:f>IF(COUNTA(A11:R11)=0,"",IF(OR(A11="",B11="",C11="",D11="",G11="",L11="",M11="",N11="",P11="",Q11="",R11=""),"不通过：缺少必填项",IF(AND(E11&lt;&gt;"",F11&lt;&gt;"",E11&gt;F11),"不通过：年龄范围倒置",IF(AND(H11&lt;&gt;"",I11&lt;&gt;"",H11&gt;I11),"不通过：正常范围倒置",IF(AND(M11="适用",OR(J11="",K11="")),"不通过：危急值未完整",IF(AND(J11&lt;&gt;"",K11&lt;&gt;"",J11&gt;K11),"不通过：危急范围倒置","通过"))))))</x:f>
      </x:c>
    </x:row>
    <x:row r="12">
      <x:c r="A12" s="22"/>
      <x:c r="B12" s="22"/>
      <x:c r="C12" s="22"/>
      <x:c r="D12" s="22"/>
      <x:c r="E12" s="37"/>
      <x:c r="F12" s="37"/>
      <x:c r="G12" s="22"/>
      <x:c r="H12" s="37"/>
      <x:c r="I12" s="37"/>
      <x:c r="J12" s="37"/>
      <x:c r="K12" s="37"/>
      <x:c r="L12" s="22"/>
      <x:c r="M12" s="22"/>
      <x:c r="N12" s="31"/>
      <x:c r="O12" s="31"/>
      <x:c r="P12" s="22"/>
      <x:c r="Q12" s="31"/>
      <x:c r="R12" s="22"/>
      <x:c r="S12" s="28" t="str">
        <x:f>IF(COUNTA(A12:R12)=0,"",IF(OR(A12="",B12="",C12="",D12="",G12="",L12="",M12="",N12="",P12="",Q12="",R12=""),"不通过：缺少必填项",IF(AND(E12&lt;&gt;"",F12&lt;&gt;"",E12&gt;F12),"不通过：年龄范围倒置",IF(AND(H12&lt;&gt;"",I12&lt;&gt;"",H12&gt;I12),"不通过：正常范围倒置",IF(AND(M12="适用",OR(J12="",K12="")),"不通过：危急值未完整",IF(AND(J12&lt;&gt;"",K12&lt;&gt;"",J12&gt;K12),"不通过：危急范围倒置","通过"))))))</x:f>
      </x:c>
    </x:row>
    <x:row r="13">
      <x:c r="A13" s="22"/>
      <x:c r="B13" s="22"/>
      <x:c r="C13" s="22"/>
      <x:c r="D13" s="22"/>
      <x:c r="E13" s="37"/>
      <x:c r="F13" s="37"/>
      <x:c r="G13" s="22"/>
      <x:c r="H13" s="37"/>
      <x:c r="I13" s="37"/>
      <x:c r="J13" s="37"/>
      <x:c r="K13" s="37"/>
      <x:c r="L13" s="22"/>
      <x:c r="M13" s="22"/>
      <x:c r="N13" s="31"/>
      <x:c r="O13" s="31"/>
      <x:c r="P13" s="22"/>
      <x:c r="Q13" s="31"/>
      <x:c r="R13" s="22"/>
      <x:c r="S13" s="28" t="str">
        <x:f>IF(COUNTA(A13:R13)=0,"",IF(OR(A13="",B13="",C13="",D13="",G13="",L13="",M13="",N13="",P13="",Q13="",R13=""),"不通过：缺少必填项",IF(AND(E13&lt;&gt;"",F13&lt;&gt;"",E13&gt;F13),"不通过：年龄范围倒置",IF(AND(H13&lt;&gt;"",I13&lt;&gt;"",H13&gt;I13),"不通过：正常范围倒置",IF(AND(M13="适用",OR(J13="",K13="")),"不通过：危急值未完整",IF(AND(J13&lt;&gt;"",K13&lt;&gt;"",J13&gt;K13),"不通过：危急范围倒置","通过"))))))</x:f>
      </x:c>
    </x:row>
    <x:row r="14">
      <x:c r="A14" s="22"/>
      <x:c r="B14" s="22"/>
      <x:c r="C14" s="22"/>
      <x:c r="D14" s="22"/>
      <x:c r="E14" s="37"/>
      <x:c r="F14" s="37"/>
      <x:c r="G14" s="22"/>
      <x:c r="H14" s="37"/>
      <x:c r="I14" s="37"/>
      <x:c r="J14" s="37"/>
      <x:c r="K14" s="37"/>
      <x:c r="L14" s="22"/>
      <x:c r="M14" s="22"/>
      <x:c r="N14" s="31"/>
      <x:c r="O14" s="31"/>
      <x:c r="P14" s="22"/>
      <x:c r="Q14" s="31"/>
      <x:c r="R14" s="22"/>
      <x:c r="S14" s="28" t="str">
        <x:f>IF(COUNTA(A14:R14)=0,"",IF(OR(A14="",B14="",C14="",D14="",G14="",L14="",M14="",N14="",P14="",Q14="",R14=""),"不通过：缺少必填项",IF(AND(E14&lt;&gt;"",F14&lt;&gt;"",E14&gt;F14),"不通过：年龄范围倒置",IF(AND(H14&lt;&gt;"",I14&lt;&gt;"",H14&gt;I14),"不通过：正常范围倒置",IF(AND(M14="适用",OR(J14="",K14="")),"不通过：危急值未完整",IF(AND(J14&lt;&gt;"",K14&lt;&gt;"",J14&gt;K14),"不通过：危急范围倒置","通过"))))))</x:f>
      </x:c>
    </x:row>
    <x:row r="15">
      <x:c r="A15" s="22"/>
      <x:c r="B15" s="22"/>
      <x:c r="C15" s="22"/>
      <x:c r="D15" s="22"/>
      <x:c r="E15" s="37"/>
      <x:c r="F15" s="37"/>
      <x:c r="G15" s="22"/>
      <x:c r="H15" s="37"/>
      <x:c r="I15" s="37"/>
      <x:c r="J15" s="37"/>
      <x:c r="K15" s="37"/>
      <x:c r="L15" s="22"/>
      <x:c r="M15" s="22"/>
      <x:c r="N15" s="31"/>
      <x:c r="O15" s="31"/>
      <x:c r="P15" s="22"/>
      <x:c r="Q15" s="31"/>
      <x:c r="R15" s="22"/>
      <x:c r="S15" s="28" t="str">
        <x:f>IF(COUNTA(A15:R15)=0,"",IF(OR(A15="",B15="",C15="",D15="",G15="",L15="",M15="",N15="",P15="",Q15="",R15=""),"不通过：缺少必填项",IF(AND(E15&lt;&gt;"",F15&lt;&gt;"",E15&gt;F15),"不通过：年龄范围倒置",IF(AND(H15&lt;&gt;"",I15&lt;&gt;"",H15&gt;I15),"不通过：正常范围倒置",IF(AND(M15="适用",OR(J15="",K15="")),"不通过：危急值未完整",IF(AND(J15&lt;&gt;"",K15&lt;&gt;"",J15&gt;K15),"不通过：危急范围倒置","通过"))))))</x:f>
      </x:c>
    </x:row>
    <x:row r="16">
      <x:c r="A16" s="22"/>
      <x:c r="B16" s="22"/>
      <x:c r="C16" s="22"/>
      <x:c r="D16" s="22"/>
      <x:c r="E16" s="37"/>
      <x:c r="F16" s="37"/>
      <x:c r="G16" s="22"/>
      <x:c r="H16" s="37"/>
      <x:c r="I16" s="37"/>
      <x:c r="J16" s="37"/>
      <x:c r="K16" s="37"/>
      <x:c r="L16" s="22"/>
      <x:c r="M16" s="22"/>
      <x:c r="N16" s="31"/>
      <x:c r="O16" s="31"/>
      <x:c r="P16" s="22"/>
      <x:c r="Q16" s="31"/>
      <x:c r="R16" s="22"/>
      <x:c r="S16" s="28" t="str">
        <x:f>IF(COUNTA(A16:R16)=0,"",IF(OR(A16="",B16="",C16="",D16="",G16="",L16="",M16="",N16="",P16="",Q16="",R16=""),"不通过：缺少必填项",IF(AND(E16&lt;&gt;"",F16&lt;&gt;"",E16&gt;F16),"不通过：年龄范围倒置",IF(AND(H16&lt;&gt;"",I16&lt;&gt;"",H16&gt;I16),"不通过：正常范围倒置",IF(AND(M16="适用",OR(J16="",K16="")),"不通过：危急值未完整",IF(AND(J16&lt;&gt;"",K16&lt;&gt;"",J16&gt;K16),"不通过：危急范围倒置","通过"))))))</x:f>
      </x:c>
    </x:row>
    <x:row r="17">
      <x:c r="A17" s="22"/>
      <x:c r="B17" s="22"/>
      <x:c r="C17" s="22"/>
      <x:c r="D17" s="22"/>
      <x:c r="E17" s="37"/>
      <x:c r="F17" s="37"/>
      <x:c r="G17" s="22"/>
      <x:c r="H17" s="37"/>
      <x:c r="I17" s="37"/>
      <x:c r="J17" s="37"/>
      <x:c r="K17" s="37"/>
      <x:c r="L17" s="22"/>
      <x:c r="M17" s="22"/>
      <x:c r="N17" s="31"/>
      <x:c r="O17" s="31"/>
      <x:c r="P17" s="22"/>
      <x:c r="Q17" s="31"/>
      <x:c r="R17" s="22"/>
      <x:c r="S17" s="28" t="str">
        <x:f>IF(COUNTA(A17:R17)=0,"",IF(OR(A17="",B17="",C17="",D17="",G17="",L17="",M17="",N17="",P17="",Q17="",R17=""),"不通过：缺少必填项",IF(AND(E17&lt;&gt;"",F17&lt;&gt;"",E17&gt;F17),"不通过：年龄范围倒置",IF(AND(H17&lt;&gt;"",I17&lt;&gt;"",H17&gt;I17),"不通过：正常范围倒置",IF(AND(M17="适用",OR(J17="",K17="")),"不通过：危急值未完整",IF(AND(J17&lt;&gt;"",K17&lt;&gt;"",J17&gt;K17),"不通过：危急范围倒置","通过"))))))</x:f>
      </x:c>
    </x:row>
    <x:row r="18">
      <x:c r="A18" s="22"/>
      <x:c r="B18" s="22"/>
      <x:c r="C18" s="22"/>
      <x:c r="D18" s="22"/>
      <x:c r="E18" s="37"/>
      <x:c r="F18" s="37"/>
      <x:c r="G18" s="22"/>
      <x:c r="H18" s="37"/>
      <x:c r="I18" s="37"/>
      <x:c r="J18" s="37"/>
      <x:c r="K18" s="37"/>
      <x:c r="L18" s="22"/>
      <x:c r="M18" s="22"/>
      <x:c r="N18" s="31"/>
      <x:c r="O18" s="31"/>
      <x:c r="P18" s="22"/>
      <x:c r="Q18" s="31"/>
      <x:c r="R18" s="22"/>
      <x:c r="S18" s="28" t="str">
        <x:f>IF(COUNTA(A18:R18)=0,"",IF(OR(A18="",B18="",C18="",D18="",G18="",L18="",M18="",N18="",P18="",Q18="",R18=""),"不通过：缺少必填项",IF(AND(E18&lt;&gt;"",F18&lt;&gt;"",E18&gt;F18),"不通过：年龄范围倒置",IF(AND(H18&lt;&gt;"",I18&lt;&gt;"",H18&gt;I18),"不通过：正常范围倒置",IF(AND(M18="适用",OR(J18="",K18="")),"不通过：危急值未完整",IF(AND(J18&lt;&gt;"",K18&lt;&gt;"",J18&gt;K18),"不通过：危急范围倒置","通过"))))))</x:f>
      </x:c>
    </x:row>
    <x:row r="19">
      <x:c r="A19" s="22"/>
      <x:c r="B19" s="22"/>
      <x:c r="C19" s="22"/>
      <x:c r="D19" s="22"/>
      <x:c r="E19" s="37"/>
      <x:c r="F19" s="37"/>
      <x:c r="G19" s="22"/>
      <x:c r="H19" s="37"/>
      <x:c r="I19" s="37"/>
      <x:c r="J19" s="37"/>
      <x:c r="K19" s="37"/>
      <x:c r="L19" s="22"/>
      <x:c r="M19" s="22"/>
      <x:c r="N19" s="31"/>
      <x:c r="O19" s="31"/>
      <x:c r="P19" s="22"/>
      <x:c r="Q19" s="31"/>
      <x:c r="R19" s="22"/>
      <x:c r="S19" s="28" t="str">
        <x:f>IF(COUNTA(A19:R19)=0,"",IF(OR(A19="",B19="",C19="",D19="",G19="",L19="",M19="",N19="",P19="",Q19="",R19=""),"不通过：缺少必填项",IF(AND(E19&lt;&gt;"",F19&lt;&gt;"",E19&gt;F19),"不通过：年龄范围倒置",IF(AND(H19&lt;&gt;"",I19&lt;&gt;"",H19&gt;I19),"不通过：正常范围倒置",IF(AND(M19="适用",OR(J19="",K19="")),"不通过：危急值未完整",IF(AND(J19&lt;&gt;"",K19&lt;&gt;"",J19&gt;K19),"不通过：危急范围倒置","通过"))))))</x:f>
      </x:c>
    </x:row>
    <x:row r="20">
      <x:c r="A20" s="22"/>
      <x:c r="B20" s="22"/>
      <x:c r="C20" s="22"/>
      <x:c r="D20" s="22"/>
      <x:c r="E20" s="37"/>
      <x:c r="F20" s="37"/>
      <x:c r="G20" s="22"/>
      <x:c r="H20" s="37"/>
      <x:c r="I20" s="37"/>
      <x:c r="J20" s="37"/>
      <x:c r="K20" s="37"/>
      <x:c r="L20" s="22"/>
      <x:c r="M20" s="22"/>
      <x:c r="N20" s="31"/>
      <x:c r="O20" s="31"/>
      <x:c r="P20" s="22"/>
      <x:c r="Q20" s="31"/>
      <x:c r="R20" s="22"/>
      <x:c r="S20" s="28" t="str">
        <x:f>IF(COUNTA(A20:R20)=0,"",IF(OR(A20="",B20="",C20="",D20="",G20="",L20="",M20="",N20="",P20="",Q20="",R20=""),"不通过：缺少必填项",IF(AND(E20&lt;&gt;"",F20&lt;&gt;"",E20&gt;F20),"不通过：年龄范围倒置",IF(AND(H20&lt;&gt;"",I20&lt;&gt;"",H20&gt;I20),"不通过：正常范围倒置",IF(AND(M20="适用",OR(J20="",K20="")),"不通过：危急值未完整",IF(AND(J20&lt;&gt;"",K20&lt;&gt;"",J20&gt;K20),"不通过：危急范围倒置","通过"))))))</x:f>
      </x:c>
    </x:row>
    <x:row r="21">
      <x:c r="A21" s="22"/>
      <x:c r="B21" s="22"/>
      <x:c r="C21" s="22"/>
      <x:c r="D21" s="22"/>
      <x:c r="E21" s="37"/>
      <x:c r="F21" s="37"/>
      <x:c r="G21" s="22"/>
      <x:c r="H21" s="37"/>
      <x:c r="I21" s="37"/>
      <x:c r="J21" s="37"/>
      <x:c r="K21" s="37"/>
      <x:c r="L21" s="22"/>
      <x:c r="M21" s="22"/>
      <x:c r="N21" s="31"/>
      <x:c r="O21" s="31"/>
      <x:c r="P21" s="22"/>
      <x:c r="Q21" s="31"/>
      <x:c r="R21" s="22"/>
      <x:c r="S21" s="28" t="str">
        <x:f>IF(COUNTA(A21:R21)=0,"",IF(OR(A21="",B21="",C21="",D21="",G21="",L21="",M21="",N21="",P21="",Q21="",R21=""),"不通过：缺少必填项",IF(AND(E21&lt;&gt;"",F21&lt;&gt;"",E21&gt;F21),"不通过：年龄范围倒置",IF(AND(H21&lt;&gt;"",I21&lt;&gt;"",H21&gt;I21),"不通过：正常范围倒置",IF(AND(M21="适用",OR(J21="",K21="")),"不通过：危急值未完整",IF(AND(J21&lt;&gt;"",K21&lt;&gt;"",J21&gt;K21),"不通过：危急范围倒置","通过"))))))</x:f>
      </x:c>
    </x:row>
    <x:row r="22">
      <x:c r="A22" s="22"/>
      <x:c r="B22" s="22"/>
      <x:c r="C22" s="22"/>
      <x:c r="D22" s="22"/>
      <x:c r="E22" s="37"/>
      <x:c r="F22" s="37"/>
      <x:c r="G22" s="22"/>
      <x:c r="H22" s="37"/>
      <x:c r="I22" s="37"/>
      <x:c r="J22" s="37"/>
      <x:c r="K22" s="37"/>
      <x:c r="L22" s="22"/>
      <x:c r="M22" s="22"/>
      <x:c r="N22" s="31"/>
      <x:c r="O22" s="31"/>
      <x:c r="P22" s="22"/>
      <x:c r="Q22" s="31"/>
      <x:c r="R22" s="22"/>
      <x:c r="S22" s="28" t="str">
        <x:f>IF(COUNTA(A22:R22)=0,"",IF(OR(A22="",B22="",C22="",D22="",G22="",L22="",M22="",N22="",P22="",Q22="",R22=""),"不通过：缺少必填项",IF(AND(E22&lt;&gt;"",F22&lt;&gt;"",E22&gt;F22),"不通过：年龄范围倒置",IF(AND(H22&lt;&gt;"",I22&lt;&gt;"",H22&gt;I22),"不通过：正常范围倒置",IF(AND(M22="适用",OR(J22="",K22="")),"不通过：危急值未完整",IF(AND(J22&lt;&gt;"",K22&lt;&gt;"",J22&gt;K22),"不通过：危急范围倒置","通过"))))))</x:f>
      </x:c>
    </x:row>
    <x:row r="23">
      <x:c r="A23" s="22"/>
      <x:c r="B23" s="22"/>
      <x:c r="C23" s="22"/>
      <x:c r="D23" s="22"/>
      <x:c r="E23" s="37"/>
      <x:c r="F23" s="37"/>
      <x:c r="G23" s="22"/>
      <x:c r="H23" s="37"/>
      <x:c r="I23" s="37"/>
      <x:c r="J23" s="37"/>
      <x:c r="K23" s="37"/>
      <x:c r="L23" s="22"/>
      <x:c r="M23" s="22"/>
      <x:c r="N23" s="31"/>
      <x:c r="O23" s="31"/>
      <x:c r="P23" s="22"/>
      <x:c r="Q23" s="31"/>
      <x:c r="R23" s="22"/>
      <x:c r="S23" s="28" t="str">
        <x:f>IF(COUNTA(A23:R23)=0,"",IF(OR(A23="",B23="",C23="",D23="",G23="",L23="",M23="",N23="",P23="",Q23="",R23=""),"不通过：缺少必填项",IF(AND(E23&lt;&gt;"",F23&lt;&gt;"",E23&gt;F23),"不通过：年龄范围倒置",IF(AND(H23&lt;&gt;"",I23&lt;&gt;"",H23&gt;I23),"不通过：正常范围倒置",IF(AND(M23="适用",OR(J23="",K23="")),"不通过：危急值未完整",IF(AND(J23&lt;&gt;"",K23&lt;&gt;"",J23&gt;K23),"不通过：危急范围倒置","通过"))))))</x:f>
      </x:c>
    </x:row>
    <x:row r="24">
      <x:c r="A24" s="22"/>
      <x:c r="B24" s="22"/>
      <x:c r="C24" s="22"/>
      <x:c r="D24" s="22"/>
      <x:c r="E24" s="37"/>
      <x:c r="F24" s="37"/>
      <x:c r="G24" s="22"/>
      <x:c r="H24" s="37"/>
      <x:c r="I24" s="37"/>
      <x:c r="J24" s="37"/>
      <x:c r="K24" s="37"/>
      <x:c r="L24" s="22"/>
      <x:c r="M24" s="22"/>
      <x:c r="N24" s="31"/>
      <x:c r="O24" s="31"/>
      <x:c r="P24" s="22"/>
      <x:c r="Q24" s="31"/>
      <x:c r="R24" s="22"/>
      <x:c r="S24" s="28" t="str">
        <x:f>IF(COUNTA(A24:R24)=0,"",IF(OR(A24="",B24="",C24="",D24="",G24="",L24="",M24="",N24="",P24="",Q24="",R24=""),"不通过：缺少必填项",IF(AND(E24&lt;&gt;"",F24&lt;&gt;"",E24&gt;F24),"不通过：年龄范围倒置",IF(AND(H24&lt;&gt;"",I24&lt;&gt;"",H24&gt;I24),"不通过：正常范围倒置",IF(AND(M24="适用",OR(J24="",K24="")),"不通过：危急值未完整",IF(AND(J24&lt;&gt;"",K24&lt;&gt;"",J24&gt;K24),"不通过：危急范围倒置","通过"))))))</x:f>
      </x:c>
    </x:row>
    <x:row r="25">
      <x:c r="A25" s="22"/>
      <x:c r="B25" s="22"/>
      <x:c r="C25" s="22"/>
      <x:c r="D25" s="22"/>
      <x:c r="E25" s="37"/>
      <x:c r="F25" s="37"/>
      <x:c r="G25" s="22"/>
      <x:c r="H25" s="37"/>
      <x:c r="I25" s="37"/>
      <x:c r="J25" s="37"/>
      <x:c r="K25" s="37"/>
      <x:c r="L25" s="22"/>
      <x:c r="M25" s="22"/>
      <x:c r="N25" s="31"/>
      <x:c r="O25" s="31"/>
      <x:c r="P25" s="22"/>
      <x:c r="Q25" s="31"/>
      <x:c r="R25" s="22"/>
      <x:c r="S25" s="28" t="str">
        <x:f>IF(COUNTA(A25:R25)=0,"",IF(OR(A25="",B25="",C25="",D25="",G25="",L25="",M25="",N25="",P25="",Q25="",R25=""),"不通过：缺少必填项",IF(AND(E25&lt;&gt;"",F25&lt;&gt;"",E25&gt;F25),"不通过：年龄范围倒置",IF(AND(H25&lt;&gt;"",I25&lt;&gt;"",H25&gt;I25),"不通过：正常范围倒置",IF(AND(M25="适用",OR(J25="",K25="")),"不通过：危急值未完整",IF(AND(J25&lt;&gt;"",K25&lt;&gt;"",J25&gt;K25),"不通过：危急范围倒置","通过"))))))</x:f>
      </x:c>
    </x:row>
    <x:row r="26">
      <x:c r="A26" s="22"/>
      <x:c r="B26" s="22"/>
      <x:c r="C26" s="22"/>
      <x:c r="D26" s="22"/>
      <x:c r="E26" s="37"/>
      <x:c r="F26" s="37"/>
      <x:c r="G26" s="22"/>
      <x:c r="H26" s="37"/>
      <x:c r="I26" s="37"/>
      <x:c r="J26" s="37"/>
      <x:c r="K26" s="37"/>
      <x:c r="L26" s="22"/>
      <x:c r="M26" s="22"/>
      <x:c r="N26" s="31"/>
      <x:c r="O26" s="31"/>
      <x:c r="P26" s="22"/>
      <x:c r="Q26" s="31"/>
      <x:c r="R26" s="22"/>
      <x:c r="S26" s="28" t="str">
        <x:f>IF(COUNTA(A26:R26)=0,"",IF(OR(A26="",B26="",C26="",D26="",G26="",L26="",M26="",N26="",P26="",Q26="",R26=""),"不通过：缺少必填项",IF(AND(E26&lt;&gt;"",F26&lt;&gt;"",E26&gt;F26),"不通过：年龄范围倒置",IF(AND(H26&lt;&gt;"",I26&lt;&gt;"",H26&gt;I26),"不通过：正常范围倒置",IF(AND(M26="适用",OR(J26="",K26="")),"不通过：危急值未完整",IF(AND(J26&lt;&gt;"",K26&lt;&gt;"",J26&gt;K26),"不通过：危急范围倒置","通过"))))))</x:f>
      </x:c>
    </x:row>
    <x:row r="27">
      <x:c r="A27" s="22"/>
      <x:c r="B27" s="22"/>
      <x:c r="C27" s="22"/>
      <x:c r="D27" s="22"/>
      <x:c r="E27" s="37"/>
      <x:c r="F27" s="37"/>
      <x:c r="G27" s="22"/>
      <x:c r="H27" s="37"/>
      <x:c r="I27" s="37"/>
      <x:c r="J27" s="37"/>
      <x:c r="K27" s="37"/>
      <x:c r="L27" s="22"/>
      <x:c r="M27" s="22"/>
      <x:c r="N27" s="31"/>
      <x:c r="O27" s="31"/>
      <x:c r="P27" s="22"/>
      <x:c r="Q27" s="31"/>
      <x:c r="R27" s="22"/>
      <x:c r="S27" s="28" t="str">
        <x:f>IF(COUNTA(A27:R27)=0,"",IF(OR(A27="",B27="",C27="",D27="",G27="",L27="",M27="",N27="",P27="",Q27="",R27=""),"不通过：缺少必填项",IF(AND(E27&lt;&gt;"",F27&lt;&gt;"",E27&gt;F27),"不通过：年龄范围倒置",IF(AND(H27&lt;&gt;"",I27&lt;&gt;"",H27&gt;I27),"不通过：正常范围倒置",IF(AND(M27="适用",OR(J27="",K27="")),"不通过：危急值未完整",IF(AND(J27&lt;&gt;"",K27&lt;&gt;"",J27&gt;K27),"不通过：危急范围倒置","通过"))))))</x:f>
      </x:c>
    </x:row>
    <x:row r="28">
      <x:c r="A28" s="22"/>
      <x:c r="B28" s="22"/>
      <x:c r="C28" s="22"/>
      <x:c r="D28" s="22"/>
      <x:c r="E28" s="37"/>
      <x:c r="F28" s="37"/>
      <x:c r="G28" s="22"/>
      <x:c r="H28" s="37"/>
      <x:c r="I28" s="37"/>
      <x:c r="J28" s="37"/>
      <x:c r="K28" s="37"/>
      <x:c r="L28" s="22"/>
      <x:c r="M28" s="22"/>
      <x:c r="N28" s="31"/>
      <x:c r="O28" s="31"/>
      <x:c r="P28" s="22"/>
      <x:c r="Q28" s="31"/>
      <x:c r="R28" s="22"/>
      <x:c r="S28" s="28" t="str">
        <x:f>IF(COUNTA(A28:R28)=0,"",IF(OR(A28="",B28="",C28="",D28="",G28="",L28="",M28="",N28="",P28="",Q28="",R28=""),"不通过：缺少必填项",IF(AND(E28&lt;&gt;"",F28&lt;&gt;"",E28&gt;F28),"不通过：年龄范围倒置",IF(AND(H28&lt;&gt;"",I28&lt;&gt;"",H28&gt;I28),"不通过：正常范围倒置",IF(AND(M28="适用",OR(J28="",K28="")),"不通过：危急值未完整",IF(AND(J28&lt;&gt;"",K28&lt;&gt;"",J28&gt;K28),"不通过：危急范围倒置","通过"))))))</x:f>
      </x:c>
    </x:row>
    <x:row r="29">
      <x:c r="A29" s="22"/>
      <x:c r="B29" s="22"/>
      <x:c r="C29" s="22"/>
      <x:c r="D29" s="22"/>
      <x:c r="E29" s="37"/>
      <x:c r="F29" s="37"/>
      <x:c r="G29" s="22"/>
      <x:c r="H29" s="37"/>
      <x:c r="I29" s="37"/>
      <x:c r="J29" s="37"/>
      <x:c r="K29" s="37"/>
      <x:c r="L29" s="22"/>
      <x:c r="M29" s="22"/>
      <x:c r="N29" s="31"/>
      <x:c r="O29" s="31"/>
      <x:c r="P29" s="22"/>
      <x:c r="Q29" s="31"/>
      <x:c r="R29" s="22"/>
      <x:c r="S29" s="28" t="str">
        <x:f>IF(COUNTA(A29:R29)=0,"",IF(OR(A29="",B29="",C29="",D29="",G29="",L29="",M29="",N29="",P29="",Q29="",R29=""),"不通过：缺少必填项",IF(AND(E29&lt;&gt;"",F29&lt;&gt;"",E29&gt;F29),"不通过：年龄范围倒置",IF(AND(H29&lt;&gt;"",I29&lt;&gt;"",H29&gt;I29),"不通过：正常范围倒置",IF(AND(M29="适用",OR(J29="",K29="")),"不通过：危急值未完整",IF(AND(J29&lt;&gt;"",K29&lt;&gt;"",J29&gt;K29),"不通过：危急范围倒置","通过"))))))</x:f>
      </x:c>
    </x:row>
    <x:row r="30">
      <x:c r="A30" s="22"/>
      <x:c r="B30" s="22"/>
      <x:c r="C30" s="22"/>
      <x:c r="D30" s="22"/>
      <x:c r="E30" s="37"/>
      <x:c r="F30" s="37"/>
      <x:c r="G30" s="22"/>
      <x:c r="H30" s="37"/>
      <x:c r="I30" s="37"/>
      <x:c r="J30" s="37"/>
      <x:c r="K30" s="37"/>
      <x:c r="L30" s="22"/>
      <x:c r="M30" s="22"/>
      <x:c r="N30" s="31"/>
      <x:c r="O30" s="31"/>
      <x:c r="P30" s="22"/>
      <x:c r="Q30" s="31"/>
      <x:c r="R30" s="22"/>
      <x:c r="S30" s="28" t="str">
        <x:f>IF(COUNTA(A30:R30)=0,"",IF(OR(A30="",B30="",C30="",D30="",G30="",L30="",M30="",N30="",P30="",Q30="",R30=""),"不通过：缺少必填项",IF(AND(E30&lt;&gt;"",F30&lt;&gt;"",E30&gt;F30),"不通过：年龄范围倒置",IF(AND(H30&lt;&gt;"",I30&lt;&gt;"",H30&gt;I30),"不通过：正常范围倒置",IF(AND(M30="适用",OR(J30="",K30="")),"不通过：危急值未完整",IF(AND(J30&lt;&gt;"",K30&lt;&gt;"",J30&gt;K30),"不通过：危急范围倒置","通过"))))))</x:f>
      </x:c>
    </x:row>
    <x:row r="31">
      <x:c r="A31" s="22"/>
      <x:c r="B31" s="22"/>
      <x:c r="C31" s="22"/>
      <x:c r="D31" s="22"/>
      <x:c r="E31" s="37"/>
      <x:c r="F31" s="37"/>
      <x:c r="G31" s="22"/>
      <x:c r="H31" s="37"/>
      <x:c r="I31" s="37"/>
      <x:c r="J31" s="37"/>
      <x:c r="K31" s="37"/>
      <x:c r="L31" s="22"/>
      <x:c r="M31" s="22"/>
      <x:c r="N31" s="31"/>
      <x:c r="O31" s="31"/>
      <x:c r="P31" s="22"/>
      <x:c r="Q31" s="31"/>
      <x:c r="R31" s="22"/>
      <x:c r="S31" s="28" t="str">
        <x:f>IF(COUNTA(A31:R31)=0,"",IF(OR(A31="",B31="",C31="",D31="",G31="",L31="",M31="",N31="",P31="",Q31="",R31=""),"不通过：缺少必填项",IF(AND(E31&lt;&gt;"",F31&lt;&gt;"",E31&gt;F31),"不通过：年龄范围倒置",IF(AND(H31&lt;&gt;"",I31&lt;&gt;"",H31&gt;I31),"不通过：正常范围倒置",IF(AND(M31="适用",OR(J31="",K31="")),"不通过：危急值未完整",IF(AND(J31&lt;&gt;"",K31&lt;&gt;"",J31&gt;K31),"不通过：危急范围倒置","通过"))))))</x:f>
      </x:c>
    </x:row>
    <x:row r="32">
      <x:c r="A32" s="22"/>
      <x:c r="B32" s="22"/>
      <x:c r="C32" s="22"/>
      <x:c r="D32" s="22"/>
      <x:c r="E32" s="37"/>
      <x:c r="F32" s="37"/>
      <x:c r="G32" s="22"/>
      <x:c r="H32" s="37"/>
      <x:c r="I32" s="37"/>
      <x:c r="J32" s="37"/>
      <x:c r="K32" s="37"/>
      <x:c r="L32" s="22"/>
      <x:c r="M32" s="22"/>
      <x:c r="N32" s="31"/>
      <x:c r="O32" s="31"/>
      <x:c r="P32" s="22"/>
      <x:c r="Q32" s="31"/>
      <x:c r="R32" s="22"/>
      <x:c r="S32" s="28" t="str">
        <x:f>IF(COUNTA(A32:R32)=0,"",IF(OR(A32="",B32="",C32="",D32="",G32="",L32="",M32="",N32="",P32="",Q32="",R32=""),"不通过：缺少必填项",IF(AND(E32&lt;&gt;"",F32&lt;&gt;"",E32&gt;F32),"不通过：年龄范围倒置",IF(AND(H32&lt;&gt;"",I32&lt;&gt;"",H32&gt;I32),"不通过：正常范围倒置",IF(AND(M32="适用",OR(J32="",K32="")),"不通过：危急值未完整",IF(AND(J32&lt;&gt;"",K32&lt;&gt;"",J32&gt;K32),"不通过：危急范围倒置","通过"))))))</x:f>
      </x:c>
    </x:row>
    <x:row r="33">
      <x:c r="A33" s="22"/>
      <x:c r="B33" s="22"/>
      <x:c r="C33" s="22"/>
      <x:c r="D33" s="22"/>
      <x:c r="E33" s="37"/>
      <x:c r="F33" s="37"/>
      <x:c r="G33" s="22"/>
      <x:c r="H33" s="37"/>
      <x:c r="I33" s="37"/>
      <x:c r="J33" s="37"/>
      <x:c r="K33" s="37"/>
      <x:c r="L33" s="22"/>
      <x:c r="M33" s="22"/>
      <x:c r="N33" s="31"/>
      <x:c r="O33" s="31"/>
      <x:c r="P33" s="22"/>
      <x:c r="Q33" s="31"/>
      <x:c r="R33" s="22"/>
      <x:c r="S33" s="28" t="str">
        <x:f>IF(COUNTA(A33:R33)=0,"",IF(OR(A33="",B33="",C33="",D33="",G33="",L33="",M33="",N33="",P33="",Q33="",R33=""),"不通过：缺少必填项",IF(AND(E33&lt;&gt;"",F33&lt;&gt;"",E33&gt;F33),"不通过：年龄范围倒置",IF(AND(H33&lt;&gt;"",I33&lt;&gt;"",H33&gt;I33),"不通过：正常范围倒置",IF(AND(M33="适用",OR(J33="",K33="")),"不通过：危急值未完整",IF(AND(J33&lt;&gt;"",K33&lt;&gt;"",J33&gt;K33),"不通过：危急范围倒置","通过"))))))</x:f>
      </x:c>
    </x:row>
    <x:row r="34">
      <x:c r="A34" s="22"/>
      <x:c r="B34" s="22"/>
      <x:c r="C34" s="22"/>
      <x:c r="D34" s="22"/>
      <x:c r="E34" s="37"/>
      <x:c r="F34" s="37"/>
      <x:c r="G34" s="22"/>
      <x:c r="H34" s="37"/>
      <x:c r="I34" s="37"/>
      <x:c r="J34" s="37"/>
      <x:c r="K34" s="37"/>
      <x:c r="L34" s="22"/>
      <x:c r="M34" s="22"/>
      <x:c r="N34" s="31"/>
      <x:c r="O34" s="31"/>
      <x:c r="P34" s="22"/>
      <x:c r="Q34" s="31"/>
      <x:c r="R34" s="22"/>
      <x:c r="S34" s="28" t="str">
        <x:f>IF(COUNTA(A34:R34)=0,"",IF(OR(A34="",B34="",C34="",D34="",G34="",L34="",M34="",N34="",P34="",Q34="",R34=""),"不通过：缺少必填项",IF(AND(E34&lt;&gt;"",F34&lt;&gt;"",E34&gt;F34),"不通过：年龄范围倒置",IF(AND(H34&lt;&gt;"",I34&lt;&gt;"",H34&gt;I34),"不通过：正常范围倒置",IF(AND(M34="适用",OR(J34="",K34="")),"不通过：危急值未完整",IF(AND(J34&lt;&gt;"",K34&lt;&gt;"",J34&gt;K34),"不通过：危急范围倒置","通过"))))))</x:f>
      </x:c>
    </x:row>
    <x:row r="35">
      <x:c r="A35" s="22"/>
      <x:c r="B35" s="22"/>
      <x:c r="C35" s="22"/>
      <x:c r="D35" s="22"/>
      <x:c r="E35" s="37"/>
      <x:c r="F35" s="37"/>
      <x:c r="G35" s="22"/>
      <x:c r="H35" s="37"/>
      <x:c r="I35" s="37"/>
      <x:c r="J35" s="37"/>
      <x:c r="K35" s="37"/>
      <x:c r="L35" s="22"/>
      <x:c r="M35" s="22"/>
      <x:c r="N35" s="31"/>
      <x:c r="O35" s="31"/>
      <x:c r="P35" s="22"/>
      <x:c r="Q35" s="31"/>
      <x:c r="R35" s="22"/>
      <x:c r="S35" s="28" t="str">
        <x:f>IF(COUNTA(A35:R35)=0,"",IF(OR(A35="",B35="",C35="",D35="",G35="",L35="",M35="",N35="",P35="",Q35="",R35=""),"不通过：缺少必填项",IF(AND(E35&lt;&gt;"",F35&lt;&gt;"",E35&gt;F35),"不通过：年龄范围倒置",IF(AND(H35&lt;&gt;"",I35&lt;&gt;"",H35&gt;I35),"不通过：正常范围倒置",IF(AND(M35="适用",OR(J35="",K35="")),"不通过：危急值未完整",IF(AND(J35&lt;&gt;"",K35&lt;&gt;"",J35&gt;K35),"不通过：危急范围倒置","通过"))))))</x:f>
      </x:c>
    </x:row>
    <x:row r="36">
      <x:c r="A36" s="22"/>
      <x:c r="B36" s="22"/>
      <x:c r="C36" s="22"/>
      <x:c r="D36" s="22"/>
      <x:c r="E36" s="37"/>
      <x:c r="F36" s="37"/>
      <x:c r="G36" s="22"/>
      <x:c r="H36" s="37"/>
      <x:c r="I36" s="37"/>
      <x:c r="J36" s="37"/>
      <x:c r="K36" s="37"/>
      <x:c r="L36" s="22"/>
      <x:c r="M36" s="22"/>
      <x:c r="N36" s="31"/>
      <x:c r="O36" s="31"/>
      <x:c r="P36" s="22"/>
      <x:c r="Q36" s="31"/>
      <x:c r="R36" s="22"/>
      <x:c r="S36" s="28" t="str">
        <x:f>IF(COUNTA(A36:R36)=0,"",IF(OR(A36="",B36="",C36="",D36="",G36="",L36="",M36="",N36="",P36="",Q36="",R36=""),"不通过：缺少必填项",IF(AND(E36&lt;&gt;"",F36&lt;&gt;"",E36&gt;F36),"不通过：年龄范围倒置",IF(AND(H36&lt;&gt;"",I36&lt;&gt;"",H36&gt;I36),"不通过：正常范围倒置",IF(AND(M36="适用",OR(J36="",K36="")),"不通过：危急值未完整",IF(AND(J36&lt;&gt;"",K36&lt;&gt;"",J36&gt;K36),"不通过：危急范围倒置","通过"))))))</x:f>
      </x:c>
    </x:row>
    <x:row r="37">
      <x:c r="A37" s="22"/>
      <x:c r="B37" s="22"/>
      <x:c r="C37" s="22"/>
      <x:c r="D37" s="22"/>
      <x:c r="E37" s="37"/>
      <x:c r="F37" s="37"/>
      <x:c r="G37" s="22"/>
      <x:c r="H37" s="37"/>
      <x:c r="I37" s="37"/>
      <x:c r="J37" s="37"/>
      <x:c r="K37" s="37"/>
      <x:c r="L37" s="22"/>
      <x:c r="M37" s="22"/>
      <x:c r="N37" s="31"/>
      <x:c r="O37" s="31"/>
      <x:c r="P37" s="22"/>
      <x:c r="Q37" s="31"/>
      <x:c r="R37" s="22"/>
      <x:c r="S37" s="28" t="str">
        <x:f>IF(COUNTA(A37:R37)=0,"",IF(OR(A37="",B37="",C37="",D37="",G37="",L37="",M37="",N37="",P37="",Q37="",R37=""),"不通过：缺少必填项",IF(AND(E37&lt;&gt;"",F37&lt;&gt;"",E37&gt;F37),"不通过：年龄范围倒置",IF(AND(H37&lt;&gt;"",I37&lt;&gt;"",H37&gt;I37),"不通过：正常范围倒置",IF(AND(M37="适用",OR(J37="",K37="")),"不通过：危急值未完整",IF(AND(J37&lt;&gt;"",K37&lt;&gt;"",J37&gt;K37),"不通过：危急范围倒置","通过"))))))</x:f>
      </x:c>
    </x:row>
    <x:row r="38">
      <x:c r="A38" s="22"/>
      <x:c r="B38" s="22"/>
      <x:c r="C38" s="22"/>
      <x:c r="D38" s="22"/>
      <x:c r="E38" s="37"/>
      <x:c r="F38" s="37"/>
      <x:c r="G38" s="22"/>
      <x:c r="H38" s="37"/>
      <x:c r="I38" s="37"/>
      <x:c r="J38" s="37"/>
      <x:c r="K38" s="37"/>
      <x:c r="L38" s="22"/>
      <x:c r="M38" s="22"/>
      <x:c r="N38" s="31"/>
      <x:c r="O38" s="31"/>
      <x:c r="P38" s="22"/>
      <x:c r="Q38" s="31"/>
      <x:c r="R38" s="22"/>
      <x:c r="S38" s="28" t="str">
        <x:f>IF(COUNTA(A38:R38)=0,"",IF(OR(A38="",B38="",C38="",D38="",G38="",L38="",M38="",N38="",P38="",Q38="",R38=""),"不通过：缺少必填项",IF(AND(E38&lt;&gt;"",F38&lt;&gt;"",E38&gt;F38),"不通过：年龄范围倒置",IF(AND(H38&lt;&gt;"",I38&lt;&gt;"",H38&gt;I38),"不通过：正常范围倒置",IF(AND(M38="适用",OR(J38="",K38="")),"不通过：危急值未完整",IF(AND(J38&lt;&gt;"",K38&lt;&gt;"",J38&gt;K38),"不通过：危急范围倒置","通过"))))))</x:f>
      </x:c>
    </x:row>
    <x:row r="39">
      <x:c r="A39" s="22"/>
      <x:c r="B39" s="22"/>
      <x:c r="C39" s="22"/>
      <x:c r="D39" s="22"/>
      <x:c r="E39" s="37"/>
      <x:c r="F39" s="37"/>
      <x:c r="G39" s="22"/>
      <x:c r="H39" s="37"/>
      <x:c r="I39" s="37"/>
      <x:c r="J39" s="37"/>
      <x:c r="K39" s="37"/>
      <x:c r="L39" s="22"/>
      <x:c r="M39" s="22"/>
      <x:c r="N39" s="31"/>
      <x:c r="O39" s="31"/>
      <x:c r="P39" s="22"/>
      <x:c r="Q39" s="31"/>
      <x:c r="R39" s="22"/>
      <x:c r="S39" s="28" t="str">
        <x:f>IF(COUNTA(A39:R39)=0,"",IF(OR(A39="",B39="",C39="",D39="",G39="",L39="",M39="",N39="",P39="",Q39="",R39=""),"不通过：缺少必填项",IF(AND(E39&lt;&gt;"",F39&lt;&gt;"",E39&gt;F39),"不通过：年龄范围倒置",IF(AND(H39&lt;&gt;"",I39&lt;&gt;"",H39&gt;I39),"不通过：正常范围倒置",IF(AND(M39="适用",OR(J39="",K39="")),"不通过：危急值未完整",IF(AND(J39&lt;&gt;"",K39&lt;&gt;"",J39&gt;K39),"不通过：危急范围倒置","通过"))))))</x:f>
      </x:c>
    </x:row>
    <x:row r="40">
      <x:c r="A40" s="22"/>
      <x:c r="B40" s="22"/>
      <x:c r="C40" s="22"/>
      <x:c r="D40" s="22"/>
      <x:c r="E40" s="37"/>
      <x:c r="F40" s="37"/>
      <x:c r="G40" s="22"/>
      <x:c r="H40" s="37"/>
      <x:c r="I40" s="37"/>
      <x:c r="J40" s="37"/>
      <x:c r="K40" s="37"/>
      <x:c r="L40" s="22"/>
      <x:c r="M40" s="22"/>
      <x:c r="N40" s="31"/>
      <x:c r="O40" s="31"/>
      <x:c r="P40" s="22"/>
      <x:c r="Q40" s="31"/>
      <x:c r="R40" s="22"/>
      <x:c r="S40" s="28" t="str">
        <x:f>IF(COUNTA(A40:R40)=0,"",IF(OR(A40="",B40="",C40="",D40="",G40="",L40="",M40="",N40="",P40="",Q40="",R40=""),"不通过：缺少必填项",IF(AND(E40&lt;&gt;"",F40&lt;&gt;"",E40&gt;F40),"不通过：年龄范围倒置",IF(AND(H40&lt;&gt;"",I40&lt;&gt;"",H40&gt;I40),"不通过：正常范围倒置",IF(AND(M40="适用",OR(J40="",K40="")),"不通过：危急值未完整",IF(AND(J40&lt;&gt;"",K40&lt;&gt;"",J40&gt;K40),"不通过：危急范围倒置","通过"))))))</x:f>
      </x:c>
    </x:row>
    <x:row r="41">
      <x:c r="A41" s="22"/>
      <x:c r="B41" s="22"/>
      <x:c r="C41" s="22"/>
      <x:c r="D41" s="22"/>
      <x:c r="E41" s="37"/>
      <x:c r="F41" s="37"/>
      <x:c r="G41" s="22"/>
      <x:c r="H41" s="37"/>
      <x:c r="I41" s="37"/>
      <x:c r="J41" s="37"/>
      <x:c r="K41" s="37"/>
      <x:c r="L41" s="22"/>
      <x:c r="M41" s="22"/>
      <x:c r="N41" s="31"/>
      <x:c r="O41" s="31"/>
      <x:c r="P41" s="22"/>
      <x:c r="Q41" s="31"/>
      <x:c r="R41" s="22"/>
      <x:c r="S41" s="28" t="str">
        <x:f>IF(COUNTA(A41:R41)=0,"",IF(OR(A41="",B41="",C41="",D41="",G41="",L41="",M41="",N41="",P41="",Q41="",R41=""),"不通过：缺少必填项",IF(AND(E41&lt;&gt;"",F41&lt;&gt;"",E41&gt;F41),"不通过：年龄范围倒置",IF(AND(H41&lt;&gt;"",I41&lt;&gt;"",H41&gt;I41),"不通过：正常范围倒置",IF(AND(M41="适用",OR(J41="",K41="")),"不通过：危急值未完整",IF(AND(J41&lt;&gt;"",K41&lt;&gt;"",J41&gt;K41),"不通过：危急范围倒置","通过"))))))</x:f>
      </x:c>
    </x:row>
    <x:row r="42">
      <x:c r="A42" s="22"/>
      <x:c r="B42" s="22"/>
      <x:c r="C42" s="22"/>
      <x:c r="D42" s="22"/>
      <x:c r="E42" s="37"/>
      <x:c r="F42" s="37"/>
      <x:c r="G42" s="22"/>
      <x:c r="H42" s="37"/>
      <x:c r="I42" s="37"/>
      <x:c r="J42" s="37"/>
      <x:c r="K42" s="37"/>
      <x:c r="L42" s="22"/>
      <x:c r="M42" s="22"/>
      <x:c r="N42" s="31"/>
      <x:c r="O42" s="31"/>
      <x:c r="P42" s="22"/>
      <x:c r="Q42" s="31"/>
      <x:c r="R42" s="22"/>
      <x:c r="S42" s="28" t="str">
        <x:f>IF(COUNTA(A42:R42)=0,"",IF(OR(A42="",B42="",C42="",D42="",G42="",L42="",M42="",N42="",P42="",Q42="",R42=""),"不通过：缺少必填项",IF(AND(E42&lt;&gt;"",F42&lt;&gt;"",E42&gt;F42),"不通过：年龄范围倒置",IF(AND(H42&lt;&gt;"",I42&lt;&gt;"",H42&gt;I42),"不通过：正常范围倒置",IF(AND(M42="适用",OR(J42="",K42="")),"不通过：危急值未完整",IF(AND(J42&lt;&gt;"",K42&lt;&gt;"",J42&gt;K42),"不通过：危急范围倒置","通过"))))))</x:f>
      </x:c>
    </x:row>
    <x:row r="43">
      <x:c r="A43" s="22"/>
      <x:c r="B43" s="22"/>
      <x:c r="C43" s="22"/>
      <x:c r="D43" s="22"/>
      <x:c r="E43" s="37"/>
      <x:c r="F43" s="37"/>
      <x:c r="G43" s="22"/>
      <x:c r="H43" s="37"/>
      <x:c r="I43" s="37"/>
      <x:c r="J43" s="37"/>
      <x:c r="K43" s="37"/>
      <x:c r="L43" s="22"/>
      <x:c r="M43" s="22"/>
      <x:c r="N43" s="31"/>
      <x:c r="O43" s="31"/>
      <x:c r="P43" s="22"/>
      <x:c r="Q43" s="31"/>
      <x:c r="R43" s="22"/>
      <x:c r="S43" s="28" t="str">
        <x:f>IF(COUNTA(A43:R43)=0,"",IF(OR(A43="",B43="",C43="",D43="",G43="",L43="",M43="",N43="",P43="",Q43="",R43=""),"不通过：缺少必填项",IF(AND(E43&lt;&gt;"",F43&lt;&gt;"",E43&gt;F43),"不通过：年龄范围倒置",IF(AND(H43&lt;&gt;"",I43&lt;&gt;"",H43&gt;I43),"不通过：正常范围倒置",IF(AND(M43="适用",OR(J43="",K43="")),"不通过：危急值未完整",IF(AND(J43&lt;&gt;"",K43&lt;&gt;"",J43&gt;K43),"不通过：危急范围倒置","通过"))))))</x:f>
      </x:c>
    </x:row>
    <x:row r="44">
      <x:c r="A44" s="22"/>
      <x:c r="B44" s="22"/>
      <x:c r="C44" s="22"/>
      <x:c r="D44" s="22"/>
      <x:c r="E44" s="37"/>
      <x:c r="F44" s="37"/>
      <x:c r="G44" s="22"/>
      <x:c r="H44" s="37"/>
      <x:c r="I44" s="37"/>
      <x:c r="J44" s="37"/>
      <x:c r="K44" s="37"/>
      <x:c r="L44" s="22"/>
      <x:c r="M44" s="22"/>
      <x:c r="N44" s="31"/>
      <x:c r="O44" s="31"/>
      <x:c r="P44" s="22"/>
      <x:c r="Q44" s="31"/>
      <x:c r="R44" s="22"/>
      <x:c r="S44" s="28" t="str">
        <x:f>IF(COUNTA(A44:R44)=0,"",IF(OR(A44="",B44="",C44="",D44="",G44="",L44="",M44="",N44="",P44="",Q44="",R44=""),"不通过：缺少必填项",IF(AND(E44&lt;&gt;"",F44&lt;&gt;"",E44&gt;F44),"不通过：年龄范围倒置",IF(AND(H44&lt;&gt;"",I44&lt;&gt;"",H44&gt;I44),"不通过：正常范围倒置",IF(AND(M44="适用",OR(J44="",K44="")),"不通过：危急值未完整",IF(AND(J44&lt;&gt;"",K44&lt;&gt;"",J44&gt;K44),"不通过：危急范围倒置","通过"))))))</x:f>
      </x:c>
    </x:row>
    <x:row r="45">
      <x:c r="A45" s="22"/>
      <x:c r="B45" s="22"/>
      <x:c r="C45" s="22"/>
      <x:c r="D45" s="22"/>
      <x:c r="E45" s="37"/>
      <x:c r="F45" s="37"/>
      <x:c r="G45" s="22"/>
      <x:c r="H45" s="37"/>
      <x:c r="I45" s="37"/>
      <x:c r="J45" s="37"/>
      <x:c r="K45" s="37"/>
      <x:c r="L45" s="22"/>
      <x:c r="M45" s="22"/>
      <x:c r="N45" s="31"/>
      <x:c r="O45" s="31"/>
      <x:c r="P45" s="22"/>
      <x:c r="Q45" s="31"/>
      <x:c r="R45" s="22"/>
      <x:c r="S45" s="28" t="str">
        <x:f>IF(COUNTA(A45:R45)=0,"",IF(OR(A45="",B45="",C45="",D45="",G45="",L45="",M45="",N45="",P45="",Q45="",R45=""),"不通过：缺少必填项",IF(AND(E45&lt;&gt;"",F45&lt;&gt;"",E45&gt;F45),"不通过：年龄范围倒置",IF(AND(H45&lt;&gt;"",I45&lt;&gt;"",H45&gt;I45),"不通过：正常范围倒置",IF(AND(M45="适用",OR(J45="",K45="")),"不通过：危急值未完整",IF(AND(J45&lt;&gt;"",K45&lt;&gt;"",J45&gt;K45),"不通过：危急范围倒置","通过"))))))</x:f>
      </x:c>
    </x:row>
    <x:row r="46">
      <x:c r="A46" s="22"/>
      <x:c r="B46" s="22"/>
      <x:c r="C46" s="22"/>
      <x:c r="D46" s="22"/>
      <x:c r="E46" s="37"/>
      <x:c r="F46" s="37"/>
      <x:c r="G46" s="22"/>
      <x:c r="H46" s="37"/>
      <x:c r="I46" s="37"/>
      <x:c r="J46" s="37"/>
      <x:c r="K46" s="37"/>
      <x:c r="L46" s="22"/>
      <x:c r="M46" s="22"/>
      <x:c r="N46" s="31"/>
      <x:c r="O46" s="31"/>
      <x:c r="P46" s="22"/>
      <x:c r="Q46" s="31"/>
      <x:c r="R46" s="22"/>
      <x:c r="S46" s="28" t="str">
        <x:f>IF(COUNTA(A46:R46)=0,"",IF(OR(A46="",B46="",C46="",D46="",G46="",L46="",M46="",N46="",P46="",Q46="",R46=""),"不通过：缺少必填项",IF(AND(E46&lt;&gt;"",F46&lt;&gt;"",E46&gt;F46),"不通过：年龄范围倒置",IF(AND(H46&lt;&gt;"",I46&lt;&gt;"",H46&gt;I46),"不通过：正常范围倒置",IF(AND(M46="适用",OR(J46="",K46="")),"不通过：危急值未完整",IF(AND(J46&lt;&gt;"",K46&lt;&gt;"",J46&gt;K46),"不通过：危急范围倒置","通过"))))))</x:f>
      </x:c>
    </x:row>
    <x:row r="47">
      <x:c r="A47" s="22"/>
      <x:c r="B47" s="22"/>
      <x:c r="C47" s="22"/>
      <x:c r="D47" s="22"/>
      <x:c r="E47" s="37"/>
      <x:c r="F47" s="37"/>
      <x:c r="G47" s="22"/>
      <x:c r="H47" s="37"/>
      <x:c r="I47" s="37"/>
      <x:c r="J47" s="37"/>
      <x:c r="K47" s="37"/>
      <x:c r="L47" s="22"/>
      <x:c r="M47" s="22"/>
      <x:c r="N47" s="31"/>
      <x:c r="O47" s="31"/>
      <x:c r="P47" s="22"/>
      <x:c r="Q47" s="31"/>
      <x:c r="R47" s="22"/>
      <x:c r="S47" s="28" t="str">
        <x:f>IF(COUNTA(A47:R47)=0,"",IF(OR(A47="",B47="",C47="",D47="",G47="",L47="",M47="",N47="",P47="",Q47="",R47=""),"不通过：缺少必填项",IF(AND(E47&lt;&gt;"",F47&lt;&gt;"",E47&gt;F47),"不通过：年龄范围倒置",IF(AND(H47&lt;&gt;"",I47&lt;&gt;"",H47&gt;I47),"不通过：正常范围倒置",IF(AND(M47="适用",OR(J47="",K47="")),"不通过：危急值未完整",IF(AND(J47&lt;&gt;"",K47&lt;&gt;"",J47&gt;K47),"不通过：危急范围倒置","通过"))))))</x:f>
      </x:c>
    </x:row>
    <x:row r="48">
      <x:c r="A48" s="22"/>
      <x:c r="B48" s="22"/>
      <x:c r="C48" s="22"/>
      <x:c r="D48" s="22"/>
      <x:c r="E48" s="37"/>
      <x:c r="F48" s="37"/>
      <x:c r="G48" s="22"/>
      <x:c r="H48" s="37"/>
      <x:c r="I48" s="37"/>
      <x:c r="J48" s="37"/>
      <x:c r="K48" s="37"/>
      <x:c r="L48" s="22"/>
      <x:c r="M48" s="22"/>
      <x:c r="N48" s="31"/>
      <x:c r="O48" s="31"/>
      <x:c r="P48" s="22"/>
      <x:c r="Q48" s="31"/>
      <x:c r="R48" s="22"/>
      <x:c r="S48" s="28" t="str">
        <x:f>IF(COUNTA(A48:R48)=0,"",IF(OR(A48="",B48="",C48="",D48="",G48="",L48="",M48="",N48="",P48="",Q48="",R48=""),"不通过：缺少必填项",IF(AND(E48&lt;&gt;"",F48&lt;&gt;"",E48&gt;F48),"不通过：年龄范围倒置",IF(AND(H48&lt;&gt;"",I48&lt;&gt;"",H48&gt;I48),"不通过：正常范围倒置",IF(AND(M48="适用",OR(J48="",K48="")),"不通过：危急值未完整",IF(AND(J48&lt;&gt;"",K48&lt;&gt;"",J48&gt;K48),"不通过：危急范围倒置","通过"))))))</x:f>
      </x:c>
    </x:row>
    <x:row r="49">
      <x:c r="A49" s="22"/>
      <x:c r="B49" s="22"/>
      <x:c r="C49" s="22"/>
      <x:c r="D49" s="22"/>
      <x:c r="E49" s="37"/>
      <x:c r="F49" s="37"/>
      <x:c r="G49" s="22"/>
      <x:c r="H49" s="37"/>
      <x:c r="I49" s="37"/>
      <x:c r="J49" s="37"/>
      <x:c r="K49" s="37"/>
      <x:c r="L49" s="22"/>
      <x:c r="M49" s="22"/>
      <x:c r="N49" s="31"/>
      <x:c r="O49" s="31"/>
      <x:c r="P49" s="22"/>
      <x:c r="Q49" s="31"/>
      <x:c r="R49" s="22"/>
      <x:c r="S49" s="28" t="str">
        <x:f>IF(COUNTA(A49:R49)=0,"",IF(OR(A49="",B49="",C49="",D49="",G49="",L49="",M49="",N49="",P49="",Q49="",R49=""),"不通过：缺少必填项",IF(AND(E49&lt;&gt;"",F49&lt;&gt;"",E49&gt;F49),"不通过：年龄范围倒置",IF(AND(H49&lt;&gt;"",I49&lt;&gt;"",H49&gt;I49),"不通过：正常范围倒置",IF(AND(M49="适用",OR(J49="",K49="")),"不通过：危急值未完整",IF(AND(J49&lt;&gt;"",K49&lt;&gt;"",J49&gt;K49),"不通过：危急范围倒置","通过"))))))</x:f>
      </x:c>
    </x:row>
    <x:row r="50">
      <x:c r="A50" s="22"/>
      <x:c r="B50" s="22"/>
      <x:c r="C50" s="22"/>
      <x:c r="D50" s="22"/>
      <x:c r="E50" s="37"/>
      <x:c r="F50" s="37"/>
      <x:c r="G50" s="22"/>
      <x:c r="H50" s="37"/>
      <x:c r="I50" s="37"/>
      <x:c r="J50" s="37"/>
      <x:c r="K50" s="37"/>
      <x:c r="L50" s="22"/>
      <x:c r="M50" s="22"/>
      <x:c r="N50" s="31"/>
      <x:c r="O50" s="31"/>
      <x:c r="P50" s="22"/>
      <x:c r="Q50" s="31"/>
      <x:c r="R50" s="22"/>
      <x:c r="S50" s="28" t="str">
        <x:f>IF(COUNTA(A50:R50)=0,"",IF(OR(A50="",B50="",C50="",D50="",G50="",L50="",M50="",N50="",P50="",Q50="",R50=""),"不通过：缺少必填项",IF(AND(E50&lt;&gt;"",F50&lt;&gt;"",E50&gt;F50),"不通过：年龄范围倒置",IF(AND(H50&lt;&gt;"",I50&lt;&gt;"",H50&gt;I50),"不通过：正常范围倒置",IF(AND(M50="适用",OR(J50="",K50="")),"不通过：危急值未完整",IF(AND(J50&lt;&gt;"",K50&lt;&gt;"",J50&gt;K50),"不通过：危急范围倒置","通过"))))))</x:f>
      </x:c>
    </x:row>
    <x:row r="51">
      <x:c r="A51" s="22"/>
      <x:c r="B51" s="22"/>
      <x:c r="C51" s="22"/>
      <x:c r="D51" s="22"/>
      <x:c r="E51" s="37"/>
      <x:c r="F51" s="37"/>
      <x:c r="G51" s="22"/>
      <x:c r="H51" s="37"/>
      <x:c r="I51" s="37"/>
      <x:c r="J51" s="37"/>
      <x:c r="K51" s="37"/>
      <x:c r="L51" s="22"/>
      <x:c r="M51" s="22"/>
      <x:c r="N51" s="31"/>
      <x:c r="O51" s="31"/>
      <x:c r="P51" s="22"/>
      <x:c r="Q51" s="31"/>
      <x:c r="R51" s="22"/>
      <x:c r="S51" s="28" t="str">
        <x:f>IF(COUNTA(A51:R51)=0,"",IF(OR(A51="",B51="",C51="",D51="",G51="",L51="",M51="",N51="",P51="",Q51="",R51=""),"不通过：缺少必填项",IF(AND(E51&lt;&gt;"",F51&lt;&gt;"",E51&gt;F51),"不通过：年龄范围倒置",IF(AND(H51&lt;&gt;"",I51&lt;&gt;"",H51&gt;I51),"不通过：正常范围倒置",IF(AND(M51="适用",OR(J51="",K51="")),"不通过：危急值未完整",IF(AND(J51&lt;&gt;"",K51&lt;&gt;"",J51&gt;K51),"不通过：危急范围倒置","通过"))))))</x:f>
      </x:c>
    </x:row>
    <x:row r="52">
      <x:c r="A52" s="22"/>
      <x:c r="B52" s="22"/>
      <x:c r="C52" s="22"/>
      <x:c r="D52" s="22"/>
      <x:c r="E52" s="37"/>
      <x:c r="F52" s="37"/>
      <x:c r="G52" s="22"/>
      <x:c r="H52" s="37"/>
      <x:c r="I52" s="37"/>
      <x:c r="J52" s="37"/>
      <x:c r="K52" s="37"/>
      <x:c r="L52" s="22"/>
      <x:c r="M52" s="22"/>
      <x:c r="N52" s="31"/>
      <x:c r="O52" s="31"/>
      <x:c r="P52" s="22"/>
      <x:c r="Q52" s="31"/>
      <x:c r="R52" s="22"/>
      <x:c r="S52" s="28" t="str">
        <x:f>IF(COUNTA(A52:R52)=0,"",IF(OR(A52="",B52="",C52="",D52="",G52="",L52="",M52="",N52="",P52="",Q52="",R52=""),"不通过：缺少必填项",IF(AND(E52&lt;&gt;"",F52&lt;&gt;"",E52&gt;F52),"不通过：年龄范围倒置",IF(AND(H52&lt;&gt;"",I52&lt;&gt;"",H52&gt;I52),"不通过：正常范围倒置",IF(AND(M52="适用",OR(J52="",K52="")),"不通过：危急值未完整",IF(AND(J52&lt;&gt;"",K52&lt;&gt;"",J52&gt;K52),"不通过：危急范围倒置","通过"))))))</x:f>
      </x:c>
    </x:row>
    <x:row r="53">
      <x:c r="A53" s="22"/>
      <x:c r="B53" s="22"/>
      <x:c r="C53" s="22"/>
      <x:c r="D53" s="22"/>
      <x:c r="E53" s="37"/>
      <x:c r="F53" s="37"/>
      <x:c r="G53" s="22"/>
      <x:c r="H53" s="37"/>
      <x:c r="I53" s="37"/>
      <x:c r="J53" s="37"/>
      <x:c r="K53" s="37"/>
      <x:c r="L53" s="22"/>
      <x:c r="M53" s="22"/>
      <x:c r="N53" s="31"/>
      <x:c r="O53" s="31"/>
      <x:c r="P53" s="22"/>
      <x:c r="Q53" s="31"/>
      <x:c r="R53" s="22"/>
      <x:c r="S53" s="28" t="str">
        <x:f>IF(COUNTA(A53:R53)=0,"",IF(OR(A53="",B53="",C53="",D53="",G53="",L53="",M53="",N53="",P53="",Q53="",R53=""),"不通过：缺少必填项",IF(AND(E53&lt;&gt;"",F53&lt;&gt;"",E53&gt;F53),"不通过：年龄范围倒置",IF(AND(H53&lt;&gt;"",I53&lt;&gt;"",H53&gt;I53),"不通过：正常范围倒置",IF(AND(M53="适用",OR(J53="",K53="")),"不通过：危急值未完整",IF(AND(J53&lt;&gt;"",K53&lt;&gt;"",J53&gt;K53),"不通过：危急范围倒置","通过"))))))</x:f>
      </x:c>
    </x:row>
    <x:row r="54">
      <x:c r="A54" s="22"/>
      <x:c r="B54" s="22"/>
      <x:c r="C54" s="22"/>
      <x:c r="D54" s="22"/>
      <x:c r="E54" s="37"/>
      <x:c r="F54" s="37"/>
      <x:c r="G54" s="22"/>
      <x:c r="H54" s="37"/>
      <x:c r="I54" s="37"/>
      <x:c r="J54" s="37"/>
      <x:c r="K54" s="37"/>
      <x:c r="L54" s="22"/>
      <x:c r="M54" s="22"/>
      <x:c r="N54" s="31"/>
      <x:c r="O54" s="31"/>
      <x:c r="P54" s="22"/>
      <x:c r="Q54" s="31"/>
      <x:c r="R54" s="22"/>
      <x:c r="S54" s="28" t="str">
        <x:f>IF(COUNTA(A54:R54)=0,"",IF(OR(A54="",B54="",C54="",D54="",G54="",L54="",M54="",N54="",P54="",Q54="",R54=""),"不通过：缺少必填项",IF(AND(E54&lt;&gt;"",F54&lt;&gt;"",E54&gt;F54),"不通过：年龄范围倒置",IF(AND(H54&lt;&gt;"",I54&lt;&gt;"",H54&gt;I54),"不通过：正常范围倒置",IF(AND(M54="适用",OR(J54="",K54="")),"不通过：危急值未完整",IF(AND(J54&lt;&gt;"",K54&lt;&gt;"",J54&gt;K54),"不通过：危急范围倒置","通过"))))))</x:f>
      </x:c>
    </x:row>
    <x:row r="55">
      <x:c r="A55" s="22"/>
      <x:c r="B55" s="22"/>
      <x:c r="C55" s="22"/>
      <x:c r="D55" s="22"/>
      <x:c r="E55" s="37"/>
      <x:c r="F55" s="37"/>
      <x:c r="G55" s="22"/>
      <x:c r="H55" s="37"/>
      <x:c r="I55" s="37"/>
      <x:c r="J55" s="37"/>
      <x:c r="K55" s="37"/>
      <x:c r="L55" s="22"/>
      <x:c r="M55" s="22"/>
      <x:c r="N55" s="31"/>
      <x:c r="O55" s="31"/>
      <x:c r="P55" s="22"/>
      <x:c r="Q55" s="31"/>
      <x:c r="R55" s="22"/>
      <x:c r="S55" s="28" t="str">
        <x:f>IF(COUNTA(A55:R55)=0,"",IF(OR(A55="",B55="",C55="",D55="",G55="",L55="",M55="",N55="",P55="",Q55="",R55=""),"不通过：缺少必填项",IF(AND(E55&lt;&gt;"",F55&lt;&gt;"",E55&gt;F55),"不通过：年龄范围倒置",IF(AND(H55&lt;&gt;"",I55&lt;&gt;"",H55&gt;I55),"不通过：正常范围倒置",IF(AND(M55="适用",OR(J55="",K55="")),"不通过：危急值未完整",IF(AND(J55&lt;&gt;"",K55&lt;&gt;"",J55&gt;K55),"不通过：危急范围倒置","通过"))))))</x:f>
      </x:c>
    </x:row>
    <x:row r="56">
      <x:c r="A56" s="22"/>
      <x:c r="B56" s="22"/>
      <x:c r="C56" s="22"/>
      <x:c r="D56" s="22"/>
      <x:c r="E56" s="37"/>
      <x:c r="F56" s="37"/>
      <x:c r="G56" s="22"/>
      <x:c r="H56" s="37"/>
      <x:c r="I56" s="37"/>
      <x:c r="J56" s="37"/>
      <x:c r="K56" s="37"/>
      <x:c r="L56" s="22"/>
      <x:c r="M56" s="22"/>
      <x:c r="N56" s="31"/>
      <x:c r="O56" s="31"/>
      <x:c r="P56" s="22"/>
      <x:c r="Q56" s="31"/>
      <x:c r="R56" s="22"/>
      <x:c r="S56" s="28" t="str">
        <x:f>IF(COUNTA(A56:R56)=0,"",IF(OR(A56="",B56="",C56="",D56="",G56="",L56="",M56="",N56="",P56="",Q56="",R56=""),"不通过：缺少必填项",IF(AND(E56&lt;&gt;"",F56&lt;&gt;"",E56&gt;F56),"不通过：年龄范围倒置",IF(AND(H56&lt;&gt;"",I56&lt;&gt;"",H56&gt;I56),"不通过：正常范围倒置",IF(AND(M56="适用",OR(J56="",K56="")),"不通过：危急值未完整",IF(AND(J56&lt;&gt;"",K56&lt;&gt;"",J56&gt;K56),"不通过：危急范围倒置","通过"))))))</x:f>
      </x:c>
    </x:row>
    <x:row r="57">
      <x:c r="A57" s="22"/>
      <x:c r="B57" s="22"/>
      <x:c r="C57" s="22"/>
      <x:c r="D57" s="22"/>
      <x:c r="E57" s="37"/>
      <x:c r="F57" s="37"/>
      <x:c r="G57" s="22"/>
      <x:c r="H57" s="37"/>
      <x:c r="I57" s="37"/>
      <x:c r="J57" s="37"/>
      <x:c r="K57" s="37"/>
      <x:c r="L57" s="22"/>
      <x:c r="M57" s="22"/>
      <x:c r="N57" s="31"/>
      <x:c r="O57" s="31"/>
      <x:c r="P57" s="22"/>
      <x:c r="Q57" s="31"/>
      <x:c r="R57" s="22"/>
      <x:c r="S57" s="28" t="str">
        <x:f>IF(COUNTA(A57:R57)=0,"",IF(OR(A57="",B57="",C57="",D57="",G57="",L57="",M57="",N57="",P57="",Q57="",R57=""),"不通过：缺少必填项",IF(AND(E57&lt;&gt;"",F57&lt;&gt;"",E57&gt;F57),"不通过：年龄范围倒置",IF(AND(H57&lt;&gt;"",I57&lt;&gt;"",H57&gt;I57),"不通过：正常范围倒置",IF(AND(M57="适用",OR(J57="",K57="")),"不通过：危急值未完整",IF(AND(J57&lt;&gt;"",K57&lt;&gt;"",J57&gt;K57),"不通过：危急范围倒置","通过"))))))</x:f>
      </x:c>
    </x:row>
    <x:row r="58">
      <x:c r="A58" s="22"/>
      <x:c r="B58" s="22"/>
      <x:c r="C58" s="22"/>
      <x:c r="D58" s="22"/>
      <x:c r="E58" s="37"/>
      <x:c r="F58" s="37"/>
      <x:c r="G58" s="22"/>
      <x:c r="H58" s="37"/>
      <x:c r="I58" s="37"/>
      <x:c r="J58" s="37"/>
      <x:c r="K58" s="37"/>
      <x:c r="L58" s="22"/>
      <x:c r="M58" s="22"/>
      <x:c r="N58" s="31"/>
      <x:c r="O58" s="31"/>
      <x:c r="P58" s="22"/>
      <x:c r="Q58" s="31"/>
      <x:c r="R58" s="22"/>
      <x:c r="S58" s="28" t="str">
        <x:f>IF(COUNTA(A58:R58)=0,"",IF(OR(A58="",B58="",C58="",D58="",G58="",L58="",M58="",N58="",P58="",Q58="",R58=""),"不通过：缺少必填项",IF(AND(E58&lt;&gt;"",F58&lt;&gt;"",E58&gt;F58),"不通过：年龄范围倒置",IF(AND(H58&lt;&gt;"",I58&lt;&gt;"",H58&gt;I58),"不通过：正常范围倒置",IF(AND(M58="适用",OR(J58="",K58="")),"不通过：危急值未完整",IF(AND(J58&lt;&gt;"",K58&lt;&gt;"",J58&gt;K58),"不通过：危急范围倒置","通过"))))))</x:f>
      </x:c>
    </x:row>
    <x:row r="59">
      <x:c r="A59" s="22"/>
      <x:c r="B59" s="22"/>
      <x:c r="C59" s="22"/>
      <x:c r="D59" s="22"/>
      <x:c r="E59" s="37"/>
      <x:c r="F59" s="37"/>
      <x:c r="G59" s="22"/>
      <x:c r="H59" s="37"/>
      <x:c r="I59" s="37"/>
      <x:c r="J59" s="37"/>
      <x:c r="K59" s="37"/>
      <x:c r="L59" s="22"/>
      <x:c r="M59" s="22"/>
      <x:c r="N59" s="31"/>
      <x:c r="O59" s="31"/>
      <x:c r="P59" s="22"/>
      <x:c r="Q59" s="31"/>
      <x:c r="R59" s="22"/>
      <x:c r="S59" s="28" t="str">
        <x:f>IF(COUNTA(A59:R59)=0,"",IF(OR(A59="",B59="",C59="",D59="",G59="",L59="",M59="",N59="",P59="",Q59="",R59=""),"不通过：缺少必填项",IF(AND(E59&lt;&gt;"",F59&lt;&gt;"",E59&gt;F59),"不通过：年龄范围倒置",IF(AND(H59&lt;&gt;"",I59&lt;&gt;"",H59&gt;I59),"不通过：正常范围倒置",IF(AND(M59="适用",OR(J59="",K59="")),"不通过：危急值未完整",IF(AND(J59&lt;&gt;"",K59&lt;&gt;"",J59&gt;K59),"不通过：危急范围倒置","通过"))))))</x:f>
      </x:c>
    </x:row>
    <x:row r="60">
      <x:c r="A60" s="22"/>
      <x:c r="B60" s="22"/>
      <x:c r="C60" s="22"/>
      <x:c r="D60" s="22"/>
      <x:c r="E60" s="37"/>
      <x:c r="F60" s="37"/>
      <x:c r="G60" s="22"/>
      <x:c r="H60" s="37"/>
      <x:c r="I60" s="37"/>
      <x:c r="J60" s="37"/>
      <x:c r="K60" s="37"/>
      <x:c r="L60" s="22"/>
      <x:c r="M60" s="22"/>
      <x:c r="N60" s="31"/>
      <x:c r="O60" s="31"/>
      <x:c r="P60" s="22"/>
      <x:c r="Q60" s="31"/>
      <x:c r="R60" s="22"/>
      <x:c r="S60" s="28" t="str">
        <x:f>IF(COUNTA(A60:R60)=0,"",IF(OR(A60="",B60="",C60="",D60="",G60="",L60="",M60="",N60="",P60="",Q60="",R60=""),"不通过：缺少必填项",IF(AND(E60&lt;&gt;"",F60&lt;&gt;"",E60&gt;F60),"不通过：年龄范围倒置",IF(AND(H60&lt;&gt;"",I60&lt;&gt;"",H60&gt;I60),"不通过：正常范围倒置",IF(AND(M60="适用",OR(J60="",K60="")),"不通过：危急值未完整",IF(AND(J60&lt;&gt;"",K60&lt;&gt;"",J60&gt;K60),"不通过：危急范围倒置","通过"))))))</x:f>
      </x:c>
    </x:row>
    <x:row r="61">
      <x:c r="A61" s="22"/>
      <x:c r="B61" s="22"/>
      <x:c r="C61" s="22"/>
      <x:c r="D61" s="22"/>
      <x:c r="E61" s="37"/>
      <x:c r="F61" s="37"/>
      <x:c r="G61" s="22"/>
      <x:c r="H61" s="37"/>
      <x:c r="I61" s="37"/>
      <x:c r="J61" s="37"/>
      <x:c r="K61" s="37"/>
      <x:c r="L61" s="22"/>
      <x:c r="M61" s="22"/>
      <x:c r="N61" s="31"/>
      <x:c r="O61" s="31"/>
      <x:c r="P61" s="22"/>
      <x:c r="Q61" s="31"/>
      <x:c r="R61" s="22"/>
      <x:c r="S61" s="28" t="str">
        <x:f>IF(COUNTA(A61:R61)=0,"",IF(OR(A61="",B61="",C61="",D61="",G61="",L61="",M61="",N61="",P61="",Q61="",R61=""),"不通过：缺少必填项",IF(AND(E61&lt;&gt;"",F61&lt;&gt;"",E61&gt;F61),"不通过：年龄范围倒置",IF(AND(H61&lt;&gt;"",I61&lt;&gt;"",H61&gt;I61),"不通过：正常范围倒置",IF(AND(M61="适用",OR(J61="",K61="")),"不通过：危急值未完整",IF(AND(J61&lt;&gt;"",K61&lt;&gt;"",J61&gt;K61),"不通过：危急范围倒置","通过"))))))</x:f>
      </x:c>
    </x:row>
    <x:row r="62">
      <x:c r="A62" s="22"/>
      <x:c r="B62" s="22"/>
      <x:c r="C62" s="22"/>
      <x:c r="D62" s="22"/>
      <x:c r="E62" s="37"/>
      <x:c r="F62" s="37"/>
      <x:c r="G62" s="22"/>
      <x:c r="H62" s="37"/>
      <x:c r="I62" s="37"/>
      <x:c r="J62" s="37"/>
      <x:c r="K62" s="37"/>
      <x:c r="L62" s="22"/>
      <x:c r="M62" s="22"/>
      <x:c r="N62" s="31"/>
      <x:c r="O62" s="31"/>
      <x:c r="P62" s="22"/>
      <x:c r="Q62" s="31"/>
      <x:c r="R62" s="22"/>
      <x:c r="S62" s="28" t="str">
        <x:f>IF(COUNTA(A62:R62)=0,"",IF(OR(A62="",B62="",C62="",D62="",G62="",L62="",M62="",N62="",P62="",Q62="",R62=""),"不通过：缺少必填项",IF(AND(E62&lt;&gt;"",F62&lt;&gt;"",E62&gt;F62),"不通过：年龄范围倒置",IF(AND(H62&lt;&gt;"",I62&lt;&gt;"",H62&gt;I62),"不通过：正常范围倒置",IF(AND(M62="适用",OR(J62="",K62="")),"不通过：危急值未完整",IF(AND(J62&lt;&gt;"",K62&lt;&gt;"",J62&gt;K62),"不通过：危急范围倒置","通过"))))))</x:f>
      </x:c>
    </x:row>
    <x:row r="63">
      <x:c r="A63" s="22"/>
      <x:c r="B63" s="22"/>
      <x:c r="C63" s="22"/>
      <x:c r="D63" s="22"/>
      <x:c r="E63" s="37"/>
      <x:c r="F63" s="37"/>
      <x:c r="G63" s="22"/>
      <x:c r="H63" s="37"/>
      <x:c r="I63" s="37"/>
      <x:c r="J63" s="37"/>
      <x:c r="K63" s="37"/>
      <x:c r="L63" s="22"/>
      <x:c r="M63" s="22"/>
      <x:c r="N63" s="31"/>
      <x:c r="O63" s="31"/>
      <x:c r="P63" s="22"/>
      <x:c r="Q63" s="31"/>
      <x:c r="R63" s="22"/>
      <x:c r="S63" s="28" t="str">
        <x:f>IF(COUNTA(A63:R63)=0,"",IF(OR(A63="",B63="",C63="",D63="",G63="",L63="",M63="",N63="",P63="",Q63="",R63=""),"不通过：缺少必填项",IF(AND(E63&lt;&gt;"",F63&lt;&gt;"",E63&gt;F63),"不通过：年龄范围倒置",IF(AND(H63&lt;&gt;"",I63&lt;&gt;"",H63&gt;I63),"不通过：正常范围倒置",IF(AND(M63="适用",OR(J63="",K63="")),"不通过：危急值未完整",IF(AND(J63&lt;&gt;"",K63&lt;&gt;"",J63&gt;K63),"不通过：危急范围倒置","通过"))))))</x:f>
      </x:c>
    </x:row>
    <x:row r="64">
      <x:c r="A64" s="22"/>
      <x:c r="B64" s="22"/>
      <x:c r="C64" s="22"/>
      <x:c r="D64" s="22"/>
      <x:c r="E64" s="37"/>
      <x:c r="F64" s="37"/>
      <x:c r="G64" s="22"/>
      <x:c r="H64" s="37"/>
      <x:c r="I64" s="37"/>
      <x:c r="J64" s="37"/>
      <x:c r="K64" s="37"/>
      <x:c r="L64" s="22"/>
      <x:c r="M64" s="22"/>
      <x:c r="N64" s="31"/>
      <x:c r="O64" s="31"/>
      <x:c r="P64" s="22"/>
      <x:c r="Q64" s="31"/>
      <x:c r="R64" s="22"/>
      <x:c r="S64" s="28" t="str">
        <x:f>IF(COUNTA(A64:R64)=0,"",IF(OR(A64="",B64="",C64="",D64="",G64="",L64="",M64="",N64="",P64="",Q64="",R64=""),"不通过：缺少必填项",IF(AND(E64&lt;&gt;"",F64&lt;&gt;"",E64&gt;F64),"不通过：年龄范围倒置",IF(AND(H64&lt;&gt;"",I64&lt;&gt;"",H64&gt;I64),"不通过：正常范围倒置",IF(AND(M64="适用",OR(J64="",K64="")),"不通过：危急值未完整",IF(AND(J64&lt;&gt;"",K64&lt;&gt;"",J64&gt;K64),"不通过：危急范围倒置","通过"))))))</x:f>
      </x:c>
    </x:row>
    <x:row r="65">
      <x:c r="A65" s="22"/>
      <x:c r="B65" s="22"/>
      <x:c r="C65" s="22"/>
      <x:c r="D65" s="22"/>
      <x:c r="E65" s="37"/>
      <x:c r="F65" s="37"/>
      <x:c r="G65" s="22"/>
      <x:c r="H65" s="37"/>
      <x:c r="I65" s="37"/>
      <x:c r="J65" s="37"/>
      <x:c r="K65" s="37"/>
      <x:c r="L65" s="22"/>
      <x:c r="M65" s="22"/>
      <x:c r="N65" s="31"/>
      <x:c r="O65" s="31"/>
      <x:c r="P65" s="22"/>
      <x:c r="Q65" s="31"/>
      <x:c r="R65" s="22"/>
      <x:c r="S65" s="28" t="str">
        <x:f>IF(COUNTA(A65:R65)=0,"",IF(OR(A65="",B65="",C65="",D65="",G65="",L65="",M65="",N65="",P65="",Q65="",R65=""),"不通过：缺少必填项",IF(AND(E65&lt;&gt;"",F65&lt;&gt;"",E65&gt;F65),"不通过：年龄范围倒置",IF(AND(H65&lt;&gt;"",I65&lt;&gt;"",H65&gt;I65),"不通过：正常范围倒置",IF(AND(M65="适用",OR(J65="",K65="")),"不通过：危急值未完整",IF(AND(J65&lt;&gt;"",K65&lt;&gt;"",J65&gt;K65),"不通过：危急范围倒置","通过"))))))</x:f>
      </x:c>
    </x:row>
    <x:row r="66">
      <x:c r="A66" s="22"/>
      <x:c r="B66" s="22"/>
      <x:c r="C66" s="22"/>
      <x:c r="D66" s="22"/>
      <x:c r="E66" s="37"/>
      <x:c r="F66" s="37"/>
      <x:c r="G66" s="22"/>
      <x:c r="H66" s="37"/>
      <x:c r="I66" s="37"/>
      <x:c r="J66" s="37"/>
      <x:c r="K66" s="37"/>
      <x:c r="L66" s="22"/>
      <x:c r="M66" s="22"/>
      <x:c r="N66" s="31"/>
      <x:c r="O66" s="31"/>
      <x:c r="P66" s="22"/>
      <x:c r="Q66" s="31"/>
      <x:c r="R66" s="22"/>
      <x:c r="S66" s="28" t="str">
        <x:f>IF(COUNTA(A66:R66)=0,"",IF(OR(A66="",B66="",C66="",D66="",G66="",L66="",M66="",N66="",P66="",Q66="",R66=""),"不通过：缺少必填项",IF(AND(E66&lt;&gt;"",F66&lt;&gt;"",E66&gt;F66),"不通过：年龄范围倒置",IF(AND(H66&lt;&gt;"",I66&lt;&gt;"",H66&gt;I66),"不通过：正常范围倒置",IF(AND(M66="适用",OR(J66="",K66="")),"不通过：危急值未完整",IF(AND(J66&lt;&gt;"",K66&lt;&gt;"",J66&gt;K66),"不通过：危急范围倒置","通过"))))))</x:f>
      </x:c>
    </x:row>
    <x:row r="67">
      <x:c r="A67" s="22"/>
      <x:c r="B67" s="22"/>
      <x:c r="C67" s="22"/>
      <x:c r="D67" s="22"/>
      <x:c r="E67" s="37"/>
      <x:c r="F67" s="37"/>
      <x:c r="G67" s="22"/>
      <x:c r="H67" s="37"/>
      <x:c r="I67" s="37"/>
      <x:c r="J67" s="37"/>
      <x:c r="K67" s="37"/>
      <x:c r="L67" s="22"/>
      <x:c r="M67" s="22"/>
      <x:c r="N67" s="31"/>
      <x:c r="O67" s="31"/>
      <x:c r="P67" s="22"/>
      <x:c r="Q67" s="31"/>
      <x:c r="R67" s="22"/>
      <x:c r="S67" s="28" t="str">
        <x:f>IF(COUNTA(A67:R67)=0,"",IF(OR(A67="",B67="",C67="",D67="",G67="",L67="",M67="",N67="",P67="",Q67="",R67=""),"不通过：缺少必填项",IF(AND(E67&lt;&gt;"",F67&lt;&gt;"",E67&gt;F67),"不通过：年龄范围倒置",IF(AND(H67&lt;&gt;"",I67&lt;&gt;"",H67&gt;I67),"不通过：正常范围倒置",IF(AND(M67="适用",OR(J67="",K67="")),"不通过：危急值未完整",IF(AND(J67&lt;&gt;"",K67&lt;&gt;"",J67&gt;K67),"不通过：危急范围倒置","通过"))))))</x:f>
      </x:c>
    </x:row>
    <x:row r="68">
      <x:c r="A68" s="22"/>
      <x:c r="B68" s="22"/>
      <x:c r="C68" s="22"/>
      <x:c r="D68" s="22"/>
      <x:c r="E68" s="37"/>
      <x:c r="F68" s="37"/>
      <x:c r="G68" s="22"/>
      <x:c r="H68" s="37"/>
      <x:c r="I68" s="37"/>
      <x:c r="J68" s="37"/>
      <x:c r="K68" s="37"/>
      <x:c r="L68" s="22"/>
      <x:c r="M68" s="22"/>
      <x:c r="N68" s="31"/>
      <x:c r="O68" s="31"/>
      <x:c r="P68" s="22"/>
      <x:c r="Q68" s="31"/>
      <x:c r="R68" s="22"/>
      <x:c r="S68" s="28" t="str">
        <x:f>IF(COUNTA(A68:R68)=0,"",IF(OR(A68="",B68="",C68="",D68="",G68="",L68="",M68="",N68="",P68="",Q68="",R68=""),"不通过：缺少必填项",IF(AND(E68&lt;&gt;"",F68&lt;&gt;"",E68&gt;F68),"不通过：年龄范围倒置",IF(AND(H68&lt;&gt;"",I68&lt;&gt;"",H68&gt;I68),"不通过：正常范围倒置",IF(AND(M68="适用",OR(J68="",K68="")),"不通过：危急值未完整",IF(AND(J68&lt;&gt;"",K68&lt;&gt;"",J68&gt;K68),"不通过：危急范围倒置","通过"))))))</x:f>
      </x:c>
    </x:row>
    <x:row r="69">
      <x:c r="A69" s="22"/>
      <x:c r="B69" s="22"/>
      <x:c r="C69" s="22"/>
      <x:c r="D69" s="22"/>
      <x:c r="E69" s="37"/>
      <x:c r="F69" s="37"/>
      <x:c r="G69" s="22"/>
      <x:c r="H69" s="37"/>
      <x:c r="I69" s="37"/>
      <x:c r="J69" s="37"/>
      <x:c r="K69" s="37"/>
      <x:c r="L69" s="22"/>
      <x:c r="M69" s="22"/>
      <x:c r="N69" s="31"/>
      <x:c r="O69" s="31"/>
      <x:c r="P69" s="22"/>
      <x:c r="Q69" s="31"/>
      <x:c r="R69" s="22"/>
      <x:c r="S69" s="28" t="str">
        <x:f>IF(COUNTA(A69:R69)=0,"",IF(OR(A69="",B69="",C69="",D69="",G69="",L69="",M69="",N69="",P69="",Q69="",R69=""),"不通过：缺少必填项",IF(AND(E69&lt;&gt;"",F69&lt;&gt;"",E69&gt;F69),"不通过：年龄范围倒置",IF(AND(H69&lt;&gt;"",I69&lt;&gt;"",H69&gt;I69),"不通过：正常范围倒置",IF(AND(M69="适用",OR(J69="",K69="")),"不通过：危急值未完整",IF(AND(J69&lt;&gt;"",K69&lt;&gt;"",J69&gt;K69),"不通过：危急范围倒置","通过"))))))</x:f>
      </x:c>
    </x:row>
    <x:row r="70">
      <x:c r="A70" s="22"/>
      <x:c r="B70" s="22"/>
      <x:c r="C70" s="22"/>
      <x:c r="D70" s="22"/>
      <x:c r="E70" s="37"/>
      <x:c r="F70" s="37"/>
      <x:c r="G70" s="22"/>
      <x:c r="H70" s="37"/>
      <x:c r="I70" s="37"/>
      <x:c r="J70" s="37"/>
      <x:c r="K70" s="37"/>
      <x:c r="L70" s="22"/>
      <x:c r="M70" s="22"/>
      <x:c r="N70" s="31"/>
      <x:c r="O70" s="31"/>
      <x:c r="P70" s="22"/>
      <x:c r="Q70" s="31"/>
      <x:c r="R70" s="22"/>
      <x:c r="S70" s="28" t="str">
        <x:f>IF(COUNTA(A70:R70)=0,"",IF(OR(A70="",B70="",C70="",D70="",G70="",L70="",M70="",N70="",P70="",Q70="",R70=""),"不通过：缺少必填项",IF(AND(E70&lt;&gt;"",F70&lt;&gt;"",E70&gt;F70),"不通过：年龄范围倒置",IF(AND(H70&lt;&gt;"",I70&lt;&gt;"",H70&gt;I70),"不通过：正常范围倒置",IF(AND(M70="适用",OR(J70="",K70="")),"不通过：危急值未完整",IF(AND(J70&lt;&gt;"",K70&lt;&gt;"",J70&gt;K70),"不通过：危急范围倒置","通过"))))))</x:f>
      </x:c>
    </x:row>
    <x:row r="71">
      <x:c r="A71" s="22"/>
      <x:c r="B71" s="22"/>
      <x:c r="C71" s="22"/>
      <x:c r="D71" s="22"/>
      <x:c r="E71" s="37"/>
      <x:c r="F71" s="37"/>
      <x:c r="G71" s="22"/>
      <x:c r="H71" s="37"/>
      <x:c r="I71" s="37"/>
      <x:c r="J71" s="37"/>
      <x:c r="K71" s="37"/>
      <x:c r="L71" s="22"/>
      <x:c r="M71" s="22"/>
      <x:c r="N71" s="31"/>
      <x:c r="O71" s="31"/>
      <x:c r="P71" s="22"/>
      <x:c r="Q71" s="31"/>
      <x:c r="R71" s="22"/>
      <x:c r="S71" s="28" t="str">
        <x:f>IF(COUNTA(A71:R71)=0,"",IF(OR(A71="",B71="",C71="",D71="",G71="",L71="",M71="",N71="",P71="",Q71="",R71=""),"不通过：缺少必填项",IF(AND(E71&lt;&gt;"",F71&lt;&gt;"",E71&gt;F71),"不通过：年龄范围倒置",IF(AND(H71&lt;&gt;"",I71&lt;&gt;"",H71&gt;I71),"不通过：正常范围倒置",IF(AND(M71="适用",OR(J71="",K71="")),"不通过：危急值未完整",IF(AND(J71&lt;&gt;"",K71&lt;&gt;"",J71&gt;K71),"不通过：危急范围倒置","通过"))))))</x:f>
      </x:c>
    </x:row>
    <x:row r="72">
      <x:c r="A72" s="22"/>
      <x:c r="B72" s="22"/>
      <x:c r="C72" s="22"/>
      <x:c r="D72" s="22"/>
      <x:c r="E72" s="37"/>
      <x:c r="F72" s="37"/>
      <x:c r="G72" s="22"/>
      <x:c r="H72" s="37"/>
      <x:c r="I72" s="37"/>
      <x:c r="J72" s="37"/>
      <x:c r="K72" s="37"/>
      <x:c r="L72" s="22"/>
      <x:c r="M72" s="22"/>
      <x:c r="N72" s="31"/>
      <x:c r="O72" s="31"/>
      <x:c r="P72" s="22"/>
      <x:c r="Q72" s="31"/>
      <x:c r="R72" s="22"/>
      <x:c r="S72" s="28" t="str">
        <x:f>IF(COUNTA(A72:R72)=0,"",IF(OR(A72="",B72="",C72="",D72="",G72="",L72="",M72="",N72="",P72="",Q72="",R72=""),"不通过：缺少必填项",IF(AND(E72&lt;&gt;"",F72&lt;&gt;"",E72&gt;F72),"不通过：年龄范围倒置",IF(AND(H72&lt;&gt;"",I72&lt;&gt;"",H72&gt;I72),"不通过：正常范围倒置",IF(AND(M72="适用",OR(J72="",K72="")),"不通过：危急值未完整",IF(AND(J72&lt;&gt;"",K72&lt;&gt;"",J72&gt;K72),"不通过：危急范围倒置","通过"))))))</x:f>
      </x:c>
    </x:row>
    <x:row r="73">
      <x:c r="A73" s="22"/>
      <x:c r="B73" s="22"/>
      <x:c r="C73" s="22"/>
      <x:c r="D73" s="22"/>
      <x:c r="E73" s="37"/>
      <x:c r="F73" s="37"/>
      <x:c r="G73" s="22"/>
      <x:c r="H73" s="37"/>
      <x:c r="I73" s="37"/>
      <x:c r="J73" s="37"/>
      <x:c r="K73" s="37"/>
      <x:c r="L73" s="22"/>
      <x:c r="M73" s="22"/>
      <x:c r="N73" s="31"/>
      <x:c r="O73" s="31"/>
      <x:c r="P73" s="22"/>
      <x:c r="Q73" s="31"/>
      <x:c r="R73" s="22"/>
      <x:c r="S73" s="28" t="str">
        <x:f>IF(COUNTA(A73:R73)=0,"",IF(OR(A73="",B73="",C73="",D73="",G73="",L73="",M73="",N73="",P73="",Q73="",R73=""),"不通过：缺少必填项",IF(AND(E73&lt;&gt;"",F73&lt;&gt;"",E73&gt;F73),"不通过：年龄范围倒置",IF(AND(H73&lt;&gt;"",I73&lt;&gt;"",H73&gt;I73),"不通过：正常范围倒置",IF(AND(M73="适用",OR(J73="",K73="")),"不通过：危急值未完整",IF(AND(J73&lt;&gt;"",K73&lt;&gt;"",J73&gt;K73),"不通过：危急范围倒置","通过"))))))</x:f>
      </x:c>
    </x:row>
    <x:row r="74">
      <x:c r="A74" s="22"/>
      <x:c r="B74" s="22"/>
      <x:c r="C74" s="22"/>
      <x:c r="D74" s="22"/>
      <x:c r="E74" s="37"/>
      <x:c r="F74" s="37"/>
      <x:c r="G74" s="22"/>
      <x:c r="H74" s="37"/>
      <x:c r="I74" s="37"/>
      <x:c r="J74" s="37"/>
      <x:c r="K74" s="37"/>
      <x:c r="L74" s="22"/>
      <x:c r="M74" s="22"/>
      <x:c r="N74" s="31"/>
      <x:c r="O74" s="31"/>
      <x:c r="P74" s="22"/>
      <x:c r="Q74" s="31"/>
      <x:c r="R74" s="22"/>
      <x:c r="S74" s="28" t="str">
        <x:f>IF(COUNTA(A74:R74)=0,"",IF(OR(A74="",B74="",C74="",D74="",G74="",L74="",M74="",N74="",P74="",Q74="",R74=""),"不通过：缺少必填项",IF(AND(E74&lt;&gt;"",F74&lt;&gt;"",E74&gt;F74),"不通过：年龄范围倒置",IF(AND(H74&lt;&gt;"",I74&lt;&gt;"",H74&gt;I74),"不通过：正常范围倒置",IF(AND(M74="适用",OR(J74="",K74="")),"不通过：危急值未完整",IF(AND(J74&lt;&gt;"",K74&lt;&gt;"",J74&gt;K74),"不通过：危急范围倒置","通过"))))))</x:f>
      </x:c>
    </x:row>
    <x:row r="75">
      <x:c r="A75" s="22"/>
      <x:c r="B75" s="22"/>
      <x:c r="C75" s="22"/>
      <x:c r="D75" s="22"/>
      <x:c r="E75" s="37"/>
      <x:c r="F75" s="37"/>
      <x:c r="G75" s="22"/>
      <x:c r="H75" s="37"/>
      <x:c r="I75" s="37"/>
      <x:c r="J75" s="37"/>
      <x:c r="K75" s="37"/>
      <x:c r="L75" s="22"/>
      <x:c r="M75" s="22"/>
      <x:c r="N75" s="31"/>
      <x:c r="O75" s="31"/>
      <x:c r="P75" s="22"/>
      <x:c r="Q75" s="31"/>
      <x:c r="R75" s="22"/>
      <x:c r="S75" s="28" t="str">
        <x:f>IF(COUNTA(A75:R75)=0,"",IF(OR(A75="",B75="",C75="",D75="",G75="",L75="",M75="",N75="",P75="",Q75="",R75=""),"不通过：缺少必填项",IF(AND(E75&lt;&gt;"",F75&lt;&gt;"",E75&gt;F75),"不通过：年龄范围倒置",IF(AND(H75&lt;&gt;"",I75&lt;&gt;"",H75&gt;I75),"不通过：正常范围倒置",IF(AND(M75="适用",OR(J75="",K75="")),"不通过：危急值未完整",IF(AND(J75&lt;&gt;"",K75&lt;&gt;"",J75&gt;K75),"不通过：危急范围倒置","通过"))))))</x:f>
      </x:c>
    </x:row>
    <x:row r="76">
      <x:c r="A76" s="22"/>
      <x:c r="B76" s="22"/>
      <x:c r="C76" s="22"/>
      <x:c r="D76" s="22"/>
      <x:c r="E76" s="37"/>
      <x:c r="F76" s="37"/>
      <x:c r="G76" s="22"/>
      <x:c r="H76" s="37"/>
      <x:c r="I76" s="37"/>
      <x:c r="J76" s="37"/>
      <x:c r="K76" s="37"/>
      <x:c r="L76" s="22"/>
      <x:c r="M76" s="22"/>
      <x:c r="N76" s="31"/>
      <x:c r="O76" s="31"/>
      <x:c r="P76" s="22"/>
      <x:c r="Q76" s="31"/>
      <x:c r="R76" s="22"/>
      <x:c r="S76" s="28" t="str">
        <x:f>IF(COUNTA(A76:R76)=0,"",IF(OR(A76="",B76="",C76="",D76="",G76="",L76="",M76="",N76="",P76="",Q76="",R76=""),"不通过：缺少必填项",IF(AND(E76&lt;&gt;"",F76&lt;&gt;"",E76&gt;F76),"不通过：年龄范围倒置",IF(AND(H76&lt;&gt;"",I76&lt;&gt;"",H76&gt;I76),"不通过：正常范围倒置",IF(AND(M76="适用",OR(J76="",K76="")),"不通过：危急值未完整",IF(AND(J76&lt;&gt;"",K76&lt;&gt;"",J76&gt;K76),"不通过：危急范围倒置","通过"))))))</x:f>
      </x:c>
    </x:row>
    <x:row r="77">
      <x:c r="A77" s="22"/>
      <x:c r="B77" s="22"/>
      <x:c r="C77" s="22"/>
      <x:c r="D77" s="22"/>
      <x:c r="E77" s="37"/>
      <x:c r="F77" s="37"/>
      <x:c r="G77" s="22"/>
      <x:c r="H77" s="37"/>
      <x:c r="I77" s="37"/>
      <x:c r="J77" s="37"/>
      <x:c r="K77" s="37"/>
      <x:c r="L77" s="22"/>
      <x:c r="M77" s="22"/>
      <x:c r="N77" s="31"/>
      <x:c r="O77" s="31"/>
      <x:c r="P77" s="22"/>
      <x:c r="Q77" s="31"/>
      <x:c r="R77" s="22"/>
      <x:c r="S77" s="28" t="str">
        <x:f>IF(COUNTA(A77:R77)=0,"",IF(OR(A77="",B77="",C77="",D77="",G77="",L77="",M77="",N77="",P77="",Q77="",R77=""),"不通过：缺少必填项",IF(AND(E77&lt;&gt;"",F77&lt;&gt;"",E77&gt;F77),"不通过：年龄范围倒置",IF(AND(H77&lt;&gt;"",I77&lt;&gt;"",H77&gt;I77),"不通过：正常范围倒置",IF(AND(M77="适用",OR(J77="",K77="")),"不通过：危急值未完整",IF(AND(J77&lt;&gt;"",K77&lt;&gt;"",J77&gt;K77),"不通过：危急范围倒置","通过"))))))</x:f>
      </x:c>
    </x:row>
    <x:row r="78">
      <x:c r="A78" s="22"/>
      <x:c r="B78" s="22"/>
      <x:c r="C78" s="22"/>
      <x:c r="D78" s="22"/>
      <x:c r="E78" s="37"/>
      <x:c r="F78" s="37"/>
      <x:c r="G78" s="22"/>
      <x:c r="H78" s="37"/>
      <x:c r="I78" s="37"/>
      <x:c r="J78" s="37"/>
      <x:c r="K78" s="37"/>
      <x:c r="L78" s="22"/>
      <x:c r="M78" s="22"/>
      <x:c r="N78" s="31"/>
      <x:c r="O78" s="31"/>
      <x:c r="P78" s="22"/>
      <x:c r="Q78" s="31"/>
      <x:c r="R78" s="22"/>
      <x:c r="S78" s="28" t="str">
        <x:f>IF(COUNTA(A78:R78)=0,"",IF(OR(A78="",B78="",C78="",D78="",G78="",L78="",M78="",N78="",P78="",Q78="",R78=""),"不通过：缺少必填项",IF(AND(E78&lt;&gt;"",F78&lt;&gt;"",E78&gt;F78),"不通过：年龄范围倒置",IF(AND(H78&lt;&gt;"",I78&lt;&gt;"",H78&gt;I78),"不通过：正常范围倒置",IF(AND(M78="适用",OR(J78="",K78="")),"不通过：危急值未完整",IF(AND(J78&lt;&gt;"",K78&lt;&gt;"",J78&gt;K78),"不通过：危急范围倒置","通过"))))))</x:f>
      </x:c>
    </x:row>
    <x:row r="79">
      <x:c r="A79" s="22"/>
      <x:c r="B79" s="22"/>
      <x:c r="C79" s="22"/>
      <x:c r="D79" s="22"/>
      <x:c r="E79" s="37"/>
      <x:c r="F79" s="37"/>
      <x:c r="G79" s="22"/>
      <x:c r="H79" s="37"/>
      <x:c r="I79" s="37"/>
      <x:c r="J79" s="37"/>
      <x:c r="K79" s="37"/>
      <x:c r="L79" s="22"/>
      <x:c r="M79" s="22"/>
      <x:c r="N79" s="31"/>
      <x:c r="O79" s="31"/>
      <x:c r="P79" s="22"/>
      <x:c r="Q79" s="31"/>
      <x:c r="R79" s="22"/>
      <x:c r="S79" s="28" t="str">
        <x:f>IF(COUNTA(A79:R79)=0,"",IF(OR(A79="",B79="",C79="",D79="",G79="",L79="",M79="",N79="",P79="",Q79="",R79=""),"不通过：缺少必填项",IF(AND(E79&lt;&gt;"",F79&lt;&gt;"",E79&gt;F79),"不通过：年龄范围倒置",IF(AND(H79&lt;&gt;"",I79&lt;&gt;"",H79&gt;I79),"不通过：正常范围倒置",IF(AND(M79="适用",OR(J79="",K79="")),"不通过：危急值未完整",IF(AND(J79&lt;&gt;"",K79&lt;&gt;"",J79&gt;K79),"不通过：危急范围倒置","通过"))))))</x:f>
      </x:c>
    </x:row>
    <x:row r="80">
      <x:c r="A80" s="22"/>
      <x:c r="B80" s="22"/>
      <x:c r="C80" s="22"/>
      <x:c r="D80" s="22"/>
      <x:c r="E80" s="37"/>
      <x:c r="F80" s="37"/>
      <x:c r="G80" s="22"/>
      <x:c r="H80" s="37"/>
      <x:c r="I80" s="37"/>
      <x:c r="J80" s="37"/>
      <x:c r="K80" s="37"/>
      <x:c r="L80" s="22"/>
      <x:c r="M80" s="22"/>
      <x:c r="N80" s="31"/>
      <x:c r="O80" s="31"/>
      <x:c r="P80" s="22"/>
      <x:c r="Q80" s="31"/>
      <x:c r="R80" s="22"/>
      <x:c r="S80" s="28" t="str">
        <x:f>IF(COUNTA(A80:R80)=0,"",IF(OR(A80="",B80="",C80="",D80="",G80="",L80="",M80="",N80="",P80="",Q80="",R80=""),"不通过：缺少必填项",IF(AND(E80&lt;&gt;"",F80&lt;&gt;"",E80&gt;F80),"不通过：年龄范围倒置",IF(AND(H80&lt;&gt;"",I80&lt;&gt;"",H80&gt;I80),"不通过：正常范围倒置",IF(AND(M80="适用",OR(J80="",K80="")),"不通过：危急值未完整",IF(AND(J80&lt;&gt;"",K80&lt;&gt;"",J80&gt;K80),"不通过：危急范围倒置","通过"))))))</x:f>
      </x:c>
    </x:row>
    <x:row r="81">
      <x:c r="A81" s="22"/>
      <x:c r="B81" s="22"/>
      <x:c r="C81" s="22"/>
      <x:c r="D81" s="22"/>
      <x:c r="E81" s="37"/>
      <x:c r="F81" s="37"/>
      <x:c r="G81" s="22"/>
      <x:c r="H81" s="37"/>
      <x:c r="I81" s="37"/>
      <x:c r="J81" s="37"/>
      <x:c r="K81" s="37"/>
      <x:c r="L81" s="22"/>
      <x:c r="M81" s="22"/>
      <x:c r="N81" s="31"/>
      <x:c r="O81" s="31"/>
      <x:c r="P81" s="22"/>
      <x:c r="Q81" s="31"/>
      <x:c r="R81" s="22"/>
      <x:c r="S81" s="28" t="str">
        <x:f>IF(COUNTA(A81:R81)=0,"",IF(OR(A81="",B81="",C81="",D81="",G81="",L81="",M81="",N81="",P81="",Q81="",R81=""),"不通过：缺少必填项",IF(AND(E81&lt;&gt;"",F81&lt;&gt;"",E81&gt;F81),"不通过：年龄范围倒置",IF(AND(H81&lt;&gt;"",I81&lt;&gt;"",H81&gt;I81),"不通过：正常范围倒置",IF(AND(M81="适用",OR(J81="",K81="")),"不通过：危急值未完整",IF(AND(J81&lt;&gt;"",K81&lt;&gt;"",J81&gt;K81),"不通过：危急范围倒置","通过"))))))</x:f>
      </x:c>
    </x:row>
    <x:row r="82">
      <x:c r="A82" s="22"/>
      <x:c r="B82" s="22"/>
      <x:c r="C82" s="22"/>
      <x:c r="D82" s="22"/>
      <x:c r="E82" s="37"/>
      <x:c r="F82" s="37"/>
      <x:c r="G82" s="22"/>
      <x:c r="H82" s="37"/>
      <x:c r="I82" s="37"/>
      <x:c r="J82" s="37"/>
      <x:c r="K82" s="37"/>
      <x:c r="L82" s="22"/>
      <x:c r="M82" s="22"/>
      <x:c r="N82" s="31"/>
      <x:c r="O82" s="31"/>
      <x:c r="P82" s="22"/>
      <x:c r="Q82" s="31"/>
      <x:c r="R82" s="22"/>
      <x:c r="S82" s="28" t="str">
        <x:f>IF(COUNTA(A82:R82)=0,"",IF(OR(A82="",B82="",C82="",D82="",G82="",L82="",M82="",N82="",P82="",Q82="",R82=""),"不通过：缺少必填项",IF(AND(E82&lt;&gt;"",F82&lt;&gt;"",E82&gt;F82),"不通过：年龄范围倒置",IF(AND(H82&lt;&gt;"",I82&lt;&gt;"",H82&gt;I82),"不通过：正常范围倒置",IF(AND(M82="适用",OR(J82="",K82="")),"不通过：危急值未完整",IF(AND(J82&lt;&gt;"",K82&lt;&gt;"",J82&gt;K82),"不通过：危急范围倒置","通过"))))))</x:f>
      </x:c>
    </x:row>
    <x:row r="83">
      <x:c r="A83" s="22"/>
      <x:c r="B83" s="22"/>
      <x:c r="C83" s="22"/>
      <x:c r="D83" s="22"/>
      <x:c r="E83" s="37"/>
      <x:c r="F83" s="37"/>
      <x:c r="G83" s="22"/>
      <x:c r="H83" s="37"/>
      <x:c r="I83" s="37"/>
      <x:c r="J83" s="37"/>
      <x:c r="K83" s="37"/>
      <x:c r="L83" s="22"/>
      <x:c r="M83" s="22"/>
      <x:c r="N83" s="31"/>
      <x:c r="O83" s="31"/>
      <x:c r="P83" s="22"/>
      <x:c r="Q83" s="31"/>
      <x:c r="R83" s="22"/>
      <x:c r="S83" s="28" t="str">
        <x:f>IF(COUNTA(A83:R83)=0,"",IF(OR(A83="",B83="",C83="",D83="",G83="",L83="",M83="",N83="",P83="",Q83="",R83=""),"不通过：缺少必填项",IF(AND(E83&lt;&gt;"",F83&lt;&gt;"",E83&gt;F83),"不通过：年龄范围倒置",IF(AND(H83&lt;&gt;"",I83&lt;&gt;"",H83&gt;I83),"不通过：正常范围倒置",IF(AND(M83="适用",OR(J83="",K83="")),"不通过：危急值未完整",IF(AND(J83&lt;&gt;"",K83&lt;&gt;"",J83&gt;K83),"不通过：危急范围倒置","通过"))))))</x:f>
      </x:c>
    </x:row>
    <x:row r="84">
      <x:c r="A84" s="22"/>
      <x:c r="B84" s="22"/>
      <x:c r="C84" s="22"/>
      <x:c r="D84" s="22"/>
      <x:c r="E84" s="37"/>
      <x:c r="F84" s="37"/>
      <x:c r="G84" s="22"/>
      <x:c r="H84" s="37"/>
      <x:c r="I84" s="37"/>
      <x:c r="J84" s="37"/>
      <x:c r="K84" s="37"/>
      <x:c r="L84" s="22"/>
      <x:c r="M84" s="22"/>
      <x:c r="N84" s="31"/>
      <x:c r="O84" s="31"/>
      <x:c r="P84" s="22"/>
      <x:c r="Q84" s="31"/>
      <x:c r="R84" s="22"/>
      <x:c r="S84" s="28" t="str">
        <x:f>IF(COUNTA(A84:R84)=0,"",IF(OR(A84="",B84="",C84="",D84="",G84="",L84="",M84="",N84="",P84="",Q84="",R84=""),"不通过：缺少必填项",IF(AND(E84&lt;&gt;"",F84&lt;&gt;"",E84&gt;F84),"不通过：年龄范围倒置",IF(AND(H84&lt;&gt;"",I84&lt;&gt;"",H84&gt;I84),"不通过：正常范围倒置",IF(AND(M84="适用",OR(J84="",K84="")),"不通过：危急值未完整",IF(AND(J84&lt;&gt;"",K84&lt;&gt;"",J84&gt;K84),"不通过：危急范围倒置","通过"))))))</x:f>
      </x:c>
    </x:row>
    <x:row r="85">
      <x:c r="A85" s="22"/>
      <x:c r="B85" s="22"/>
      <x:c r="C85" s="22"/>
      <x:c r="D85" s="22"/>
      <x:c r="E85" s="37"/>
      <x:c r="F85" s="37"/>
      <x:c r="G85" s="22"/>
      <x:c r="H85" s="37"/>
      <x:c r="I85" s="37"/>
      <x:c r="J85" s="37"/>
      <x:c r="K85" s="37"/>
      <x:c r="L85" s="22"/>
      <x:c r="M85" s="22"/>
      <x:c r="N85" s="31"/>
      <x:c r="O85" s="31"/>
      <x:c r="P85" s="22"/>
      <x:c r="Q85" s="31"/>
      <x:c r="R85" s="22"/>
      <x:c r="S85" s="28" t="str">
        <x:f>IF(COUNTA(A85:R85)=0,"",IF(OR(A85="",B85="",C85="",D85="",G85="",L85="",M85="",N85="",P85="",Q85="",R85=""),"不通过：缺少必填项",IF(AND(E85&lt;&gt;"",F85&lt;&gt;"",E85&gt;F85),"不通过：年龄范围倒置",IF(AND(H85&lt;&gt;"",I85&lt;&gt;"",H85&gt;I85),"不通过：正常范围倒置",IF(AND(M85="适用",OR(J85="",K85="")),"不通过：危急值未完整",IF(AND(J85&lt;&gt;"",K85&lt;&gt;"",J85&gt;K85),"不通过：危急范围倒置","通过"))))))</x:f>
      </x:c>
    </x:row>
    <x:row r="86">
      <x:c r="A86" s="22"/>
      <x:c r="B86" s="22"/>
      <x:c r="C86" s="22"/>
      <x:c r="D86" s="22"/>
      <x:c r="E86" s="37"/>
      <x:c r="F86" s="37"/>
      <x:c r="G86" s="22"/>
      <x:c r="H86" s="37"/>
      <x:c r="I86" s="37"/>
      <x:c r="J86" s="37"/>
      <x:c r="K86" s="37"/>
      <x:c r="L86" s="22"/>
      <x:c r="M86" s="22"/>
      <x:c r="N86" s="31"/>
      <x:c r="O86" s="31"/>
      <x:c r="P86" s="22"/>
      <x:c r="Q86" s="31"/>
      <x:c r="R86" s="22"/>
      <x:c r="S86" s="28" t="str">
        <x:f>IF(COUNTA(A86:R86)=0,"",IF(OR(A86="",B86="",C86="",D86="",G86="",L86="",M86="",N86="",P86="",Q86="",R86=""),"不通过：缺少必填项",IF(AND(E86&lt;&gt;"",F86&lt;&gt;"",E86&gt;F86),"不通过：年龄范围倒置",IF(AND(H86&lt;&gt;"",I86&lt;&gt;"",H86&gt;I86),"不通过：正常范围倒置",IF(AND(M86="适用",OR(J86="",K86="")),"不通过：危急值未完整",IF(AND(J86&lt;&gt;"",K86&lt;&gt;"",J86&gt;K86),"不通过：危急范围倒置","通过"))))))</x:f>
      </x:c>
    </x:row>
    <x:row r="87">
      <x:c r="A87" s="22"/>
      <x:c r="B87" s="22"/>
      <x:c r="C87" s="22"/>
      <x:c r="D87" s="22"/>
      <x:c r="E87" s="37"/>
      <x:c r="F87" s="37"/>
      <x:c r="G87" s="22"/>
      <x:c r="H87" s="37"/>
      <x:c r="I87" s="37"/>
      <x:c r="J87" s="37"/>
      <x:c r="K87" s="37"/>
      <x:c r="L87" s="22"/>
      <x:c r="M87" s="22"/>
      <x:c r="N87" s="31"/>
      <x:c r="O87" s="31"/>
      <x:c r="P87" s="22"/>
      <x:c r="Q87" s="31"/>
      <x:c r="R87" s="22"/>
      <x:c r="S87" s="28" t="str">
        <x:f>IF(COUNTA(A87:R87)=0,"",IF(OR(A87="",B87="",C87="",D87="",G87="",L87="",M87="",N87="",P87="",Q87="",R87=""),"不通过：缺少必填项",IF(AND(E87&lt;&gt;"",F87&lt;&gt;"",E87&gt;F87),"不通过：年龄范围倒置",IF(AND(H87&lt;&gt;"",I87&lt;&gt;"",H87&gt;I87),"不通过：正常范围倒置",IF(AND(M87="适用",OR(J87="",K87="")),"不通过：危急值未完整",IF(AND(J87&lt;&gt;"",K87&lt;&gt;"",J87&gt;K87),"不通过：危急范围倒置","通过"))))))</x:f>
      </x:c>
    </x:row>
    <x:row r="88">
      <x:c r="A88" s="22"/>
      <x:c r="B88" s="22"/>
      <x:c r="C88" s="22"/>
      <x:c r="D88" s="22"/>
      <x:c r="E88" s="37"/>
      <x:c r="F88" s="37"/>
      <x:c r="G88" s="22"/>
      <x:c r="H88" s="37"/>
      <x:c r="I88" s="37"/>
      <x:c r="J88" s="37"/>
      <x:c r="K88" s="37"/>
      <x:c r="L88" s="22"/>
      <x:c r="M88" s="22"/>
      <x:c r="N88" s="31"/>
      <x:c r="O88" s="31"/>
      <x:c r="P88" s="22"/>
      <x:c r="Q88" s="31"/>
      <x:c r="R88" s="22"/>
      <x:c r="S88" s="28" t="str">
        <x:f>IF(COUNTA(A88:R88)=0,"",IF(OR(A88="",B88="",C88="",D88="",G88="",L88="",M88="",N88="",P88="",Q88="",R88=""),"不通过：缺少必填项",IF(AND(E88&lt;&gt;"",F88&lt;&gt;"",E88&gt;F88),"不通过：年龄范围倒置",IF(AND(H88&lt;&gt;"",I88&lt;&gt;"",H88&gt;I88),"不通过：正常范围倒置",IF(AND(M88="适用",OR(J88="",K88="")),"不通过：危急值未完整",IF(AND(J88&lt;&gt;"",K88&lt;&gt;"",J88&gt;K88),"不通过：危急范围倒置","通过"))))))</x:f>
      </x:c>
    </x:row>
    <x:row r="89">
      <x:c r="A89" s="22"/>
      <x:c r="B89" s="22"/>
      <x:c r="C89" s="22"/>
      <x:c r="D89" s="22"/>
      <x:c r="E89" s="37"/>
      <x:c r="F89" s="37"/>
      <x:c r="G89" s="22"/>
      <x:c r="H89" s="37"/>
      <x:c r="I89" s="37"/>
      <x:c r="J89" s="37"/>
      <x:c r="K89" s="37"/>
      <x:c r="L89" s="22"/>
      <x:c r="M89" s="22"/>
      <x:c r="N89" s="31"/>
      <x:c r="O89" s="31"/>
      <x:c r="P89" s="22"/>
      <x:c r="Q89" s="31"/>
      <x:c r="R89" s="22"/>
      <x:c r="S89" s="28" t="str">
        <x:f>IF(COUNTA(A89:R89)=0,"",IF(OR(A89="",B89="",C89="",D89="",G89="",L89="",M89="",N89="",P89="",Q89="",R89=""),"不通过：缺少必填项",IF(AND(E89&lt;&gt;"",F89&lt;&gt;"",E89&gt;F89),"不通过：年龄范围倒置",IF(AND(H89&lt;&gt;"",I89&lt;&gt;"",H89&gt;I89),"不通过：正常范围倒置",IF(AND(M89="适用",OR(J89="",K89="")),"不通过：危急值未完整",IF(AND(J89&lt;&gt;"",K89&lt;&gt;"",J89&gt;K89),"不通过：危急范围倒置","通过"))))))</x:f>
      </x:c>
    </x:row>
    <x:row r="90">
      <x:c r="A90" s="22"/>
      <x:c r="B90" s="22"/>
      <x:c r="C90" s="22"/>
      <x:c r="D90" s="22"/>
      <x:c r="E90" s="37"/>
      <x:c r="F90" s="37"/>
      <x:c r="G90" s="22"/>
      <x:c r="H90" s="37"/>
      <x:c r="I90" s="37"/>
      <x:c r="J90" s="37"/>
      <x:c r="K90" s="37"/>
      <x:c r="L90" s="22"/>
      <x:c r="M90" s="22"/>
      <x:c r="N90" s="31"/>
      <x:c r="O90" s="31"/>
      <x:c r="P90" s="22"/>
      <x:c r="Q90" s="31"/>
      <x:c r="R90" s="22"/>
      <x:c r="S90" s="28" t="str">
        <x:f>IF(COUNTA(A90:R90)=0,"",IF(OR(A90="",B90="",C90="",D90="",G90="",L90="",M90="",N90="",P90="",Q90="",R90=""),"不通过：缺少必填项",IF(AND(E90&lt;&gt;"",F90&lt;&gt;"",E90&gt;F90),"不通过：年龄范围倒置",IF(AND(H90&lt;&gt;"",I90&lt;&gt;"",H90&gt;I90),"不通过：正常范围倒置",IF(AND(M90="适用",OR(J90="",K90="")),"不通过：危急值未完整",IF(AND(J90&lt;&gt;"",K90&lt;&gt;"",J90&gt;K90),"不通过：危急范围倒置","通过"))))))</x:f>
      </x:c>
    </x:row>
    <x:row r="91">
      <x:c r="A91" s="22"/>
      <x:c r="B91" s="22"/>
      <x:c r="C91" s="22"/>
      <x:c r="D91" s="22"/>
      <x:c r="E91" s="37"/>
      <x:c r="F91" s="37"/>
      <x:c r="G91" s="22"/>
      <x:c r="H91" s="37"/>
      <x:c r="I91" s="37"/>
      <x:c r="J91" s="37"/>
      <x:c r="K91" s="37"/>
      <x:c r="L91" s="22"/>
      <x:c r="M91" s="22"/>
      <x:c r="N91" s="31"/>
      <x:c r="O91" s="31"/>
      <x:c r="P91" s="22"/>
      <x:c r="Q91" s="31"/>
      <x:c r="R91" s="22"/>
      <x:c r="S91" s="28" t="str">
        <x:f>IF(COUNTA(A91:R91)=0,"",IF(OR(A91="",B91="",C91="",D91="",G91="",L91="",M91="",N91="",P91="",Q91="",R91=""),"不通过：缺少必填项",IF(AND(E91&lt;&gt;"",F91&lt;&gt;"",E91&gt;F91),"不通过：年龄范围倒置",IF(AND(H91&lt;&gt;"",I91&lt;&gt;"",H91&gt;I91),"不通过：正常范围倒置",IF(AND(M91="适用",OR(J91="",K91="")),"不通过：危急值未完整",IF(AND(J91&lt;&gt;"",K91&lt;&gt;"",J91&gt;K91),"不通过：危急范围倒置","通过"))))))</x:f>
      </x:c>
    </x:row>
    <x:row r="92">
      <x:c r="A92" s="22"/>
      <x:c r="B92" s="22"/>
      <x:c r="C92" s="22"/>
      <x:c r="D92" s="22"/>
      <x:c r="E92" s="37"/>
      <x:c r="F92" s="37"/>
      <x:c r="G92" s="22"/>
      <x:c r="H92" s="37"/>
      <x:c r="I92" s="37"/>
      <x:c r="J92" s="37"/>
      <x:c r="K92" s="37"/>
      <x:c r="L92" s="22"/>
      <x:c r="M92" s="22"/>
      <x:c r="N92" s="31"/>
      <x:c r="O92" s="31"/>
      <x:c r="P92" s="22"/>
      <x:c r="Q92" s="31"/>
      <x:c r="R92" s="22"/>
      <x:c r="S92" s="28" t="str">
        <x:f>IF(COUNTA(A92:R92)=0,"",IF(OR(A92="",B92="",C92="",D92="",G92="",L92="",M92="",N92="",P92="",Q92="",R92=""),"不通过：缺少必填项",IF(AND(E92&lt;&gt;"",F92&lt;&gt;"",E92&gt;F92),"不通过：年龄范围倒置",IF(AND(H92&lt;&gt;"",I92&lt;&gt;"",H92&gt;I92),"不通过：正常范围倒置",IF(AND(M92="适用",OR(J92="",K92="")),"不通过：危急值未完整",IF(AND(J92&lt;&gt;"",K92&lt;&gt;"",J92&gt;K92),"不通过：危急范围倒置","通过"))))))</x:f>
      </x:c>
    </x:row>
    <x:row r="93">
      <x:c r="A93" s="22"/>
      <x:c r="B93" s="22"/>
      <x:c r="C93" s="22"/>
      <x:c r="D93" s="22"/>
      <x:c r="E93" s="37"/>
      <x:c r="F93" s="37"/>
      <x:c r="G93" s="22"/>
      <x:c r="H93" s="37"/>
      <x:c r="I93" s="37"/>
      <x:c r="J93" s="37"/>
      <x:c r="K93" s="37"/>
      <x:c r="L93" s="22"/>
      <x:c r="M93" s="22"/>
      <x:c r="N93" s="31"/>
      <x:c r="O93" s="31"/>
      <x:c r="P93" s="22"/>
      <x:c r="Q93" s="31"/>
      <x:c r="R93" s="22"/>
      <x:c r="S93" s="28" t="str">
        <x:f>IF(COUNTA(A93:R93)=0,"",IF(OR(A93="",B93="",C93="",D93="",G93="",L93="",M93="",N93="",P93="",Q93="",R93=""),"不通过：缺少必填项",IF(AND(E93&lt;&gt;"",F93&lt;&gt;"",E93&gt;F93),"不通过：年龄范围倒置",IF(AND(H93&lt;&gt;"",I93&lt;&gt;"",H93&gt;I93),"不通过：正常范围倒置",IF(AND(M93="适用",OR(J93="",K93="")),"不通过：危急值未完整",IF(AND(J93&lt;&gt;"",K93&lt;&gt;"",J93&gt;K93),"不通过：危急范围倒置","通过"))))))</x:f>
      </x:c>
    </x:row>
    <x:row r="94">
      <x:c r="A94" s="22"/>
      <x:c r="B94" s="22"/>
      <x:c r="C94" s="22"/>
      <x:c r="D94" s="22"/>
      <x:c r="E94" s="37"/>
      <x:c r="F94" s="37"/>
      <x:c r="G94" s="22"/>
      <x:c r="H94" s="37"/>
      <x:c r="I94" s="37"/>
      <x:c r="J94" s="37"/>
      <x:c r="K94" s="37"/>
      <x:c r="L94" s="22"/>
      <x:c r="M94" s="22"/>
      <x:c r="N94" s="31"/>
      <x:c r="O94" s="31"/>
      <x:c r="P94" s="22"/>
      <x:c r="Q94" s="31"/>
      <x:c r="R94" s="22"/>
      <x:c r="S94" s="28" t="str">
        <x:f>IF(COUNTA(A94:R94)=0,"",IF(OR(A94="",B94="",C94="",D94="",G94="",L94="",M94="",N94="",P94="",Q94="",R94=""),"不通过：缺少必填项",IF(AND(E94&lt;&gt;"",F94&lt;&gt;"",E94&gt;F94),"不通过：年龄范围倒置",IF(AND(H94&lt;&gt;"",I94&lt;&gt;"",H94&gt;I94),"不通过：正常范围倒置",IF(AND(M94="适用",OR(J94="",K94="")),"不通过：危急值未完整",IF(AND(J94&lt;&gt;"",K94&lt;&gt;"",J94&gt;K94),"不通过：危急范围倒置","通过"))))))</x:f>
      </x:c>
    </x:row>
    <x:row r="95">
      <x:c r="A95" s="22"/>
      <x:c r="B95" s="22"/>
      <x:c r="C95" s="22"/>
      <x:c r="D95" s="22"/>
      <x:c r="E95" s="37"/>
      <x:c r="F95" s="37"/>
      <x:c r="G95" s="22"/>
      <x:c r="H95" s="37"/>
      <x:c r="I95" s="37"/>
      <x:c r="J95" s="37"/>
      <x:c r="K95" s="37"/>
      <x:c r="L95" s="22"/>
      <x:c r="M95" s="22"/>
      <x:c r="N95" s="31"/>
      <x:c r="O95" s="31"/>
      <x:c r="P95" s="22"/>
      <x:c r="Q95" s="31"/>
      <x:c r="R95" s="22"/>
      <x:c r="S95" s="28" t="str">
        <x:f>IF(COUNTA(A95:R95)=0,"",IF(OR(A95="",B95="",C95="",D95="",G95="",L95="",M95="",N95="",P95="",Q95="",R95=""),"不通过：缺少必填项",IF(AND(E95&lt;&gt;"",F95&lt;&gt;"",E95&gt;F95),"不通过：年龄范围倒置",IF(AND(H95&lt;&gt;"",I95&lt;&gt;"",H95&gt;I95),"不通过：正常范围倒置",IF(AND(M95="适用",OR(J95="",K95="")),"不通过：危急值未完整",IF(AND(J95&lt;&gt;"",K95&lt;&gt;"",J95&gt;K95),"不通过：危急范围倒置","通过"))))))</x:f>
      </x:c>
    </x:row>
    <x:row r="96">
      <x:c r="A96" s="22"/>
      <x:c r="B96" s="22"/>
      <x:c r="C96" s="22"/>
      <x:c r="D96" s="22"/>
      <x:c r="E96" s="37"/>
      <x:c r="F96" s="37"/>
      <x:c r="G96" s="22"/>
      <x:c r="H96" s="37"/>
      <x:c r="I96" s="37"/>
      <x:c r="J96" s="37"/>
      <x:c r="K96" s="37"/>
      <x:c r="L96" s="22"/>
      <x:c r="M96" s="22"/>
      <x:c r="N96" s="31"/>
      <x:c r="O96" s="31"/>
      <x:c r="P96" s="22"/>
      <x:c r="Q96" s="31"/>
      <x:c r="R96" s="22"/>
      <x:c r="S96" s="28" t="str">
        <x:f>IF(COUNTA(A96:R96)=0,"",IF(OR(A96="",B96="",C96="",D96="",G96="",L96="",M96="",N96="",P96="",Q96="",R96=""),"不通过：缺少必填项",IF(AND(E96&lt;&gt;"",F96&lt;&gt;"",E96&gt;F96),"不通过：年龄范围倒置",IF(AND(H96&lt;&gt;"",I96&lt;&gt;"",H96&gt;I96),"不通过：正常范围倒置",IF(AND(M96="适用",OR(J96="",K96="")),"不通过：危急值未完整",IF(AND(J96&lt;&gt;"",K96&lt;&gt;"",J96&gt;K96),"不通过：危急范围倒置","通过"))))))</x:f>
      </x:c>
    </x:row>
    <x:row r="97">
      <x:c r="A97" s="22"/>
      <x:c r="B97" s="22"/>
      <x:c r="C97" s="22"/>
      <x:c r="D97" s="22"/>
      <x:c r="E97" s="37"/>
      <x:c r="F97" s="37"/>
      <x:c r="G97" s="22"/>
      <x:c r="H97" s="37"/>
      <x:c r="I97" s="37"/>
      <x:c r="J97" s="37"/>
      <x:c r="K97" s="37"/>
      <x:c r="L97" s="22"/>
      <x:c r="M97" s="22"/>
      <x:c r="N97" s="31"/>
      <x:c r="O97" s="31"/>
      <x:c r="P97" s="22"/>
      <x:c r="Q97" s="31"/>
      <x:c r="R97" s="22"/>
      <x:c r="S97" s="28" t="str">
        <x:f>IF(COUNTA(A97:R97)=0,"",IF(OR(A97="",B97="",C97="",D97="",G97="",L97="",M97="",N97="",P97="",Q97="",R97=""),"不通过：缺少必填项",IF(AND(E97&lt;&gt;"",F97&lt;&gt;"",E97&gt;F97),"不通过：年龄范围倒置",IF(AND(H97&lt;&gt;"",I97&lt;&gt;"",H97&gt;I97),"不通过：正常范围倒置",IF(AND(M97="适用",OR(J97="",K97="")),"不通过：危急值未完整",IF(AND(J97&lt;&gt;"",K97&lt;&gt;"",J97&gt;K97),"不通过：危急范围倒置","通过"))))))</x:f>
      </x:c>
    </x:row>
    <x:row r="98">
      <x:c r="A98" s="22"/>
      <x:c r="B98" s="22"/>
      <x:c r="C98" s="22"/>
      <x:c r="D98" s="22"/>
      <x:c r="E98" s="37"/>
      <x:c r="F98" s="37"/>
      <x:c r="G98" s="22"/>
      <x:c r="H98" s="37"/>
      <x:c r="I98" s="37"/>
      <x:c r="J98" s="37"/>
      <x:c r="K98" s="37"/>
      <x:c r="L98" s="22"/>
      <x:c r="M98" s="22"/>
      <x:c r="N98" s="31"/>
      <x:c r="O98" s="31"/>
      <x:c r="P98" s="22"/>
      <x:c r="Q98" s="31"/>
      <x:c r="R98" s="22"/>
      <x:c r="S98" s="28" t="str">
        <x:f>IF(COUNTA(A98:R98)=0,"",IF(OR(A98="",B98="",C98="",D98="",G98="",L98="",M98="",N98="",P98="",Q98="",R98=""),"不通过：缺少必填项",IF(AND(E98&lt;&gt;"",F98&lt;&gt;"",E98&gt;F98),"不通过：年龄范围倒置",IF(AND(H98&lt;&gt;"",I98&lt;&gt;"",H98&gt;I98),"不通过：正常范围倒置",IF(AND(M98="适用",OR(J98="",K98="")),"不通过：危急值未完整",IF(AND(J98&lt;&gt;"",K98&lt;&gt;"",J98&gt;K98),"不通过：危急范围倒置","通过"))))))</x:f>
      </x:c>
    </x:row>
    <x:row r="99">
      <x:c r="A99" s="22"/>
      <x:c r="B99" s="22"/>
      <x:c r="C99" s="22"/>
      <x:c r="D99" s="22"/>
      <x:c r="E99" s="37"/>
      <x:c r="F99" s="37"/>
      <x:c r="G99" s="22"/>
      <x:c r="H99" s="37"/>
      <x:c r="I99" s="37"/>
      <x:c r="J99" s="37"/>
      <x:c r="K99" s="37"/>
      <x:c r="L99" s="22"/>
      <x:c r="M99" s="22"/>
      <x:c r="N99" s="31"/>
      <x:c r="O99" s="31"/>
      <x:c r="P99" s="22"/>
      <x:c r="Q99" s="31"/>
      <x:c r="R99" s="22"/>
      <x:c r="S99" s="28" t="str">
        <x:f>IF(COUNTA(A99:R99)=0,"",IF(OR(A99="",B99="",C99="",D99="",G99="",L99="",M99="",N99="",P99="",Q99="",R99=""),"不通过：缺少必填项",IF(AND(E99&lt;&gt;"",F99&lt;&gt;"",E99&gt;F99),"不通过：年龄范围倒置",IF(AND(H99&lt;&gt;"",I99&lt;&gt;"",H99&gt;I99),"不通过：正常范围倒置",IF(AND(M99="适用",OR(J99="",K99="")),"不通过：危急值未完整",IF(AND(J99&lt;&gt;"",K99&lt;&gt;"",J99&gt;K99),"不通过：危急范围倒置","通过"))))))</x:f>
      </x:c>
    </x:row>
    <x:row r="100">
      <x:c r="A100" s="22"/>
      <x:c r="B100" s="22"/>
      <x:c r="C100" s="22"/>
      <x:c r="D100" s="22"/>
      <x:c r="E100" s="37"/>
      <x:c r="F100" s="37"/>
      <x:c r="G100" s="22"/>
      <x:c r="H100" s="37"/>
      <x:c r="I100" s="37"/>
      <x:c r="J100" s="37"/>
      <x:c r="K100" s="37"/>
      <x:c r="L100" s="22"/>
      <x:c r="M100" s="22"/>
      <x:c r="N100" s="31"/>
      <x:c r="O100" s="31"/>
      <x:c r="P100" s="22"/>
      <x:c r="Q100" s="31"/>
      <x:c r="R100" s="22"/>
      <x:c r="S100" s="28" t="str">
        <x:f>IF(COUNTA(A100:R100)=0,"",IF(OR(A100="",B100="",C100="",D100="",G100="",L100="",M100="",N100="",P100="",Q100="",R100=""),"不通过：缺少必填项",IF(AND(E100&lt;&gt;"",F100&lt;&gt;"",E100&gt;F100),"不通过：年龄范围倒置",IF(AND(H100&lt;&gt;"",I100&lt;&gt;"",H100&gt;I100),"不通过：正常范围倒置",IF(AND(M100="适用",OR(J100="",K100="")),"不通过：危急值未完整",IF(AND(J100&lt;&gt;"",K100&lt;&gt;"",J100&gt;K100),"不通过：危急范围倒置","通过"))))))</x:f>
      </x:c>
    </x:row>
    <x:row r="101">
      <x:c r="A101" s="22"/>
      <x:c r="B101" s="22"/>
      <x:c r="C101" s="22"/>
      <x:c r="D101" s="22"/>
      <x:c r="E101" s="37"/>
      <x:c r="F101" s="37"/>
      <x:c r="G101" s="22"/>
      <x:c r="H101" s="37"/>
      <x:c r="I101" s="37"/>
      <x:c r="J101" s="37"/>
      <x:c r="K101" s="37"/>
      <x:c r="L101" s="22"/>
      <x:c r="M101" s="22"/>
      <x:c r="N101" s="31"/>
      <x:c r="O101" s="31"/>
      <x:c r="P101" s="22"/>
      <x:c r="Q101" s="31"/>
      <x:c r="R101" s="22"/>
      <x:c r="S101" s="28" t="str">
        <x:f>IF(COUNTA(A101:R101)=0,"",IF(OR(A101="",B101="",C101="",D101="",G101="",L101="",M101="",N101="",P101="",Q101="",R101=""),"不通过：缺少必填项",IF(AND(E101&lt;&gt;"",F101&lt;&gt;"",E101&gt;F101),"不通过：年龄范围倒置",IF(AND(H101&lt;&gt;"",I101&lt;&gt;"",H101&gt;I101),"不通过：正常范围倒置",IF(AND(M101="适用",OR(J101="",K101="")),"不通过：危急值未完整",IF(AND(J101&lt;&gt;"",K101&lt;&gt;"",J101&gt;K101),"不通过：危急范围倒置","通过"))))))</x:f>
      </x:c>
    </x:row>
    <x:row r="102">
      <x:c r="A102" s="22"/>
      <x:c r="B102" s="22"/>
      <x:c r="C102" s="22"/>
      <x:c r="D102" s="22"/>
      <x:c r="E102" s="37"/>
      <x:c r="F102" s="37"/>
      <x:c r="G102" s="22"/>
      <x:c r="H102" s="37"/>
      <x:c r="I102" s="37"/>
      <x:c r="J102" s="37"/>
      <x:c r="K102" s="37"/>
      <x:c r="L102" s="22"/>
      <x:c r="M102" s="22"/>
      <x:c r="N102" s="31"/>
      <x:c r="O102" s="31"/>
      <x:c r="P102" s="22"/>
      <x:c r="Q102" s="31"/>
      <x:c r="R102" s="22"/>
      <x:c r="S102" s="28" t="str">
        <x:f>IF(COUNTA(A102:R102)=0,"",IF(OR(A102="",B102="",C102="",D102="",G102="",L102="",M102="",N102="",P102="",Q102="",R102=""),"不通过：缺少必填项",IF(AND(E102&lt;&gt;"",F102&lt;&gt;"",E102&gt;F102),"不通过：年龄范围倒置",IF(AND(H102&lt;&gt;"",I102&lt;&gt;"",H102&gt;I102),"不通过：正常范围倒置",IF(AND(M102="适用",OR(J102="",K102="")),"不通过：危急值未完整",IF(AND(J102&lt;&gt;"",K102&lt;&gt;"",J102&gt;K102),"不通过：危急范围倒置","通过"))))))</x:f>
      </x:c>
    </x:row>
    <x:row r="103">
      <x:c r="A103" s="22"/>
      <x:c r="B103" s="22"/>
      <x:c r="C103" s="22"/>
      <x:c r="D103" s="22"/>
      <x:c r="E103" s="37"/>
      <x:c r="F103" s="37"/>
      <x:c r="G103" s="22"/>
      <x:c r="H103" s="37"/>
      <x:c r="I103" s="37"/>
      <x:c r="J103" s="37"/>
      <x:c r="K103" s="37"/>
      <x:c r="L103" s="22"/>
      <x:c r="M103" s="22"/>
      <x:c r="N103" s="31"/>
      <x:c r="O103" s="31"/>
      <x:c r="P103" s="22"/>
      <x:c r="Q103" s="31"/>
      <x:c r="R103" s="22"/>
      <x:c r="S103" s="28" t="str">
        <x:f>IF(COUNTA(A103:R103)=0,"",IF(OR(A103="",B103="",C103="",D103="",G103="",L103="",M103="",N103="",P103="",Q103="",R103=""),"不通过：缺少必填项",IF(AND(E103&lt;&gt;"",F103&lt;&gt;"",E103&gt;F103),"不通过：年龄范围倒置",IF(AND(H103&lt;&gt;"",I103&lt;&gt;"",H103&gt;I103),"不通过：正常范围倒置",IF(AND(M103="适用",OR(J103="",K103="")),"不通过：危急值未完整",IF(AND(J103&lt;&gt;"",K103&lt;&gt;"",J103&gt;K103),"不通过：危急范围倒置","通过"))))))</x:f>
      </x:c>
    </x:row>
    <x:row r="104">
      <x:c r="A104" s="23"/>
      <x:c r="B104" s="23"/>
      <x:c r="C104" s="23"/>
      <x:c r="D104" s="23"/>
      <x:c r="E104" s="38"/>
      <x:c r="F104" s="38"/>
      <x:c r="G104" s="23"/>
      <x:c r="H104" s="38"/>
      <x:c r="I104" s="38"/>
      <x:c r="J104" s="38"/>
      <x:c r="K104" s="38"/>
      <x:c r="L104" s="23"/>
      <x:c r="M104" s="23"/>
      <x:c r="N104" s="32"/>
      <x:c r="O104" s="32"/>
      <x:c r="P104" s="23"/>
      <x:c r="Q104" s="32"/>
      <x:c r="R104" s="23"/>
      <x:c r="S104" s="29" t="str">
        <x:f>IF(COUNTA(A104:R104)=0,"",IF(OR(A104="",B104="",C104="",D104="",G104="",L104="",M104="",N104="",P104="",Q104="",R104=""),"不通过：缺少必填项",IF(AND(E104&lt;&gt;"",F104&lt;&gt;"",E104&gt;F104),"不通过：年龄范围倒置",IF(AND(H104&lt;&gt;"",I104&lt;&gt;"",H104&gt;I104),"不通过：正常范围倒置",IF(AND(M104="适用",OR(J104="",K104="")),"不通过：危急值未完整",IF(AND(J104&lt;&gt;"",K104&lt;&gt;"",J104&gt;K104),"不通过：危急范围倒置","通过"))))))</x:f>
      </x:c>
    </x:row>
  </x:sheetData>
  <x:mergeCells>
    <x:mergeCell ref="A1:S1"/>
    <x:mergeCell ref="A2:S2"/>
  </x:mergeCells>
  <x:conditionalFormatting sqref="S5:S104">
    <x:cfRule type="beginsWith" dxfId="14" priority="1" operator="beginsWith" text="不通过"/>
    <x:cfRule type="cellIs" dxfId="15" priority="2" operator="equal">
      <x:formula>"通过"</x:formula>
    </x:cfRule>
  </x:conditionalFormatting>
  <x:dataValidations count="4">
    <x:dataValidation type="list" sqref="A5:A104">
      <x:formula1>"新增,修改,停用"</x:formula1>
    </x:dataValidation>
    <x:dataValidation type="list" sqref="D5:D104">
      <x:formula1>"通用,男,女"</x:formula1>
    </x:dataValidation>
    <x:dataValidation type="list" sqref="G5:G104">
      <x:formula1>"天,月,年"</x:formula1>
    </x:dataValidation>
    <x:dataValidation type="list" sqref="M5:M104">
      <x:formula1>"适用,不适用"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20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24" hidden="0" customWidth="1"/>
    <x:col min="10" max="10" width="28" hidden="0" customWidth="1"/>
    <x:col min="11" max="11" width="30" hidden="0" customWidth="1"/>
  </x:cols>
  <x:sheetData>
    <x:row r="1" ht="32" customHeight="1">
      <x:c r="A1" s="3" t="str">
        <x:v>组合项目与明细项目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每行表示一个组合与一个明细项目的关系。组合编码必须稳定；项目编码必须存在于“检验项目”；顺序决定申请和报告展示。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数据状态*</x:v>
      </x:c>
      <x:c r="B4" s="12" t="str">
        <x:v>组合编码*</x:v>
      </x:c>
      <x:c r="C4" s="12" t="str">
        <x:v>组合名称*</x:v>
      </x:c>
      <x:c r="D4" s="12" t="str">
        <x:v>明细项目编码*</x:v>
      </x:c>
      <x:c r="E4" s="12" t="str">
        <x:v>项目顺序*</x:v>
      </x:c>
      <x:c r="F4" s="12" t="str">
        <x:v>启用状态*</x:v>
      </x:c>
      <x:c r="G4" s="12" t="str">
        <x:v>有效开始日期</x:v>
      </x:c>
      <x:c r="H4" s="12" t="str">
        <x:v>有效结束日期</x:v>
      </x:c>
      <x:c r="I4" s="12" t="str">
        <x:v>依据/版本*</x:v>
      </x:c>
      <x:c r="J4" s="12" t="str">
        <x:v>备注</x:v>
      </x:c>
      <x:c r="K4" s="12" t="str">
        <x:v>校验结果</x:v>
      </x:c>
    </x:row>
    <x:row r="5">
      <x:c r="A5" s="21"/>
      <x:c r="B5" s="21"/>
      <x:c r="C5" s="21"/>
      <x:c r="D5" s="21"/>
      <x:c r="E5" s="33"/>
      <x:c r="F5" s="21"/>
      <x:c r="G5" s="30"/>
      <x:c r="H5" s="30"/>
      <x:c r="I5" s="21"/>
      <x:c r="J5" s="21"/>
      <x:c r="K5" s="27" t="str">
        <x:f>IF(COUNTA(A5:J5)=0,"",IF(OR(A5="",B5="",C5="",D5="",E5="",F5="",I5=""),"不通过：缺少必填项",IF(COUNTIFS($B$5:$B$104,B5,$D$5:$D$104,D5)&gt;1,"不通过：组合明细重复",IF(COUNTIF('检验项目'!$B$5:$B$104,D5)=0,"不通过：项目编码不存在","通过"))))</x:f>
      </x:c>
    </x:row>
    <x:row r="6">
      <x:c r="A6" s="22"/>
      <x:c r="B6" s="22"/>
      <x:c r="C6" s="22"/>
      <x:c r="D6" s="22"/>
      <x:c r="E6" s="34"/>
      <x:c r="F6" s="22"/>
      <x:c r="G6" s="31"/>
      <x:c r="H6" s="31"/>
      <x:c r="I6" s="22"/>
      <x:c r="J6" s="22"/>
      <x:c r="K6" s="28" t="str">
        <x:f>IF(COUNTA(A6:J6)=0,"",IF(OR(A6="",B6="",C6="",D6="",E6="",F6="",I6=""),"不通过：缺少必填项",IF(COUNTIFS($B$5:$B$104,B6,$D$5:$D$104,D6)&gt;1,"不通过：组合明细重复",IF(COUNTIF('检验项目'!$B$5:$B$104,D6)=0,"不通过：项目编码不存在","通过"))))</x:f>
      </x:c>
    </x:row>
    <x:row r="7">
      <x:c r="A7" s="22"/>
      <x:c r="B7" s="22"/>
      <x:c r="C7" s="22"/>
      <x:c r="D7" s="22"/>
      <x:c r="E7" s="34"/>
      <x:c r="F7" s="22"/>
      <x:c r="G7" s="31"/>
      <x:c r="H7" s="31"/>
      <x:c r="I7" s="22"/>
      <x:c r="J7" s="22"/>
      <x:c r="K7" s="28" t="str">
        <x:f>IF(COUNTA(A7:J7)=0,"",IF(OR(A7="",B7="",C7="",D7="",E7="",F7="",I7=""),"不通过：缺少必填项",IF(COUNTIFS($B$5:$B$104,B7,$D$5:$D$104,D7)&gt;1,"不通过：组合明细重复",IF(COUNTIF('检验项目'!$B$5:$B$104,D7)=0,"不通过：项目编码不存在","通过"))))</x:f>
      </x:c>
    </x:row>
    <x:row r="8">
      <x:c r="A8" s="22"/>
      <x:c r="B8" s="22"/>
      <x:c r="C8" s="22"/>
      <x:c r="D8" s="22"/>
      <x:c r="E8" s="34"/>
      <x:c r="F8" s="22"/>
      <x:c r="G8" s="31"/>
      <x:c r="H8" s="31"/>
      <x:c r="I8" s="22"/>
      <x:c r="J8" s="22"/>
      <x:c r="K8" s="28" t="str">
        <x:f>IF(COUNTA(A8:J8)=0,"",IF(OR(A8="",B8="",C8="",D8="",E8="",F8="",I8=""),"不通过：缺少必填项",IF(COUNTIFS($B$5:$B$104,B8,$D$5:$D$104,D8)&gt;1,"不通过：组合明细重复",IF(COUNTIF('检验项目'!$B$5:$B$104,D8)=0,"不通过：项目编码不存在","通过"))))</x:f>
      </x:c>
    </x:row>
    <x:row r="9">
      <x:c r="A9" s="22"/>
      <x:c r="B9" s="22"/>
      <x:c r="C9" s="22"/>
      <x:c r="D9" s="22"/>
      <x:c r="E9" s="34"/>
      <x:c r="F9" s="22"/>
      <x:c r="G9" s="31"/>
      <x:c r="H9" s="31"/>
      <x:c r="I9" s="22"/>
      <x:c r="J9" s="22"/>
      <x:c r="K9" s="28" t="str">
        <x:f>IF(COUNTA(A9:J9)=0,"",IF(OR(A9="",B9="",C9="",D9="",E9="",F9="",I9=""),"不通过：缺少必填项",IF(COUNTIFS($B$5:$B$104,B9,$D$5:$D$104,D9)&gt;1,"不通过：组合明细重复",IF(COUNTIF('检验项目'!$B$5:$B$104,D9)=0,"不通过：项目编码不存在","通过"))))</x:f>
      </x:c>
    </x:row>
    <x:row r="10">
      <x:c r="A10" s="22"/>
      <x:c r="B10" s="22"/>
      <x:c r="C10" s="22"/>
      <x:c r="D10" s="22"/>
      <x:c r="E10" s="34"/>
      <x:c r="F10" s="22"/>
      <x:c r="G10" s="31"/>
      <x:c r="H10" s="31"/>
      <x:c r="I10" s="22"/>
      <x:c r="J10" s="22"/>
      <x:c r="K10" s="28" t="str">
        <x:f>IF(COUNTA(A10:J10)=0,"",IF(OR(A10="",B10="",C10="",D10="",E10="",F10="",I10=""),"不通过：缺少必填项",IF(COUNTIFS($B$5:$B$104,B10,$D$5:$D$104,D10)&gt;1,"不通过：组合明细重复",IF(COUNTIF('检验项目'!$B$5:$B$104,D10)=0,"不通过：项目编码不存在","通过"))))</x:f>
      </x:c>
    </x:row>
    <x:row r="11">
      <x:c r="A11" s="22"/>
      <x:c r="B11" s="22"/>
      <x:c r="C11" s="22"/>
      <x:c r="D11" s="22"/>
      <x:c r="E11" s="34"/>
      <x:c r="F11" s="22"/>
      <x:c r="G11" s="31"/>
      <x:c r="H11" s="31"/>
      <x:c r="I11" s="22"/>
      <x:c r="J11" s="22"/>
      <x:c r="K11" s="28" t="str">
        <x:f>IF(COUNTA(A11:J11)=0,"",IF(OR(A11="",B11="",C11="",D11="",E11="",F11="",I11=""),"不通过：缺少必填项",IF(COUNTIFS($B$5:$B$104,B11,$D$5:$D$104,D11)&gt;1,"不通过：组合明细重复",IF(COUNTIF('检验项目'!$B$5:$B$104,D11)=0,"不通过：项目编码不存在","通过"))))</x:f>
      </x:c>
    </x:row>
    <x:row r="12">
      <x:c r="A12" s="22"/>
      <x:c r="B12" s="22"/>
      <x:c r="C12" s="22"/>
      <x:c r="D12" s="22"/>
      <x:c r="E12" s="34"/>
      <x:c r="F12" s="22"/>
      <x:c r="G12" s="31"/>
      <x:c r="H12" s="31"/>
      <x:c r="I12" s="22"/>
      <x:c r="J12" s="22"/>
      <x:c r="K12" s="28" t="str">
        <x:f>IF(COUNTA(A12:J12)=0,"",IF(OR(A12="",B12="",C12="",D12="",E12="",F12="",I12=""),"不通过：缺少必填项",IF(COUNTIFS($B$5:$B$104,B12,$D$5:$D$104,D12)&gt;1,"不通过：组合明细重复",IF(COUNTIF('检验项目'!$B$5:$B$104,D12)=0,"不通过：项目编码不存在","通过"))))</x:f>
      </x:c>
    </x:row>
    <x:row r="13">
      <x:c r="A13" s="22"/>
      <x:c r="B13" s="22"/>
      <x:c r="C13" s="22"/>
      <x:c r="D13" s="22"/>
      <x:c r="E13" s="34"/>
      <x:c r="F13" s="22"/>
      <x:c r="G13" s="31"/>
      <x:c r="H13" s="31"/>
      <x:c r="I13" s="22"/>
      <x:c r="J13" s="22"/>
      <x:c r="K13" s="28" t="str">
        <x:f>IF(COUNTA(A13:J13)=0,"",IF(OR(A13="",B13="",C13="",D13="",E13="",F13="",I13=""),"不通过：缺少必填项",IF(COUNTIFS($B$5:$B$104,B13,$D$5:$D$104,D13)&gt;1,"不通过：组合明细重复",IF(COUNTIF('检验项目'!$B$5:$B$104,D13)=0,"不通过：项目编码不存在","通过"))))</x:f>
      </x:c>
    </x:row>
    <x:row r="14">
      <x:c r="A14" s="22"/>
      <x:c r="B14" s="22"/>
      <x:c r="C14" s="22"/>
      <x:c r="D14" s="22"/>
      <x:c r="E14" s="34"/>
      <x:c r="F14" s="22"/>
      <x:c r="G14" s="31"/>
      <x:c r="H14" s="31"/>
      <x:c r="I14" s="22"/>
      <x:c r="J14" s="22"/>
      <x:c r="K14" s="28" t="str">
        <x:f>IF(COUNTA(A14:J14)=0,"",IF(OR(A14="",B14="",C14="",D14="",E14="",F14="",I14=""),"不通过：缺少必填项",IF(COUNTIFS($B$5:$B$104,B14,$D$5:$D$104,D14)&gt;1,"不通过：组合明细重复",IF(COUNTIF('检验项目'!$B$5:$B$104,D14)=0,"不通过：项目编码不存在","通过"))))</x:f>
      </x:c>
    </x:row>
    <x:row r="15">
      <x:c r="A15" s="22"/>
      <x:c r="B15" s="22"/>
      <x:c r="C15" s="22"/>
      <x:c r="D15" s="22"/>
      <x:c r="E15" s="34"/>
      <x:c r="F15" s="22"/>
      <x:c r="G15" s="31"/>
      <x:c r="H15" s="31"/>
      <x:c r="I15" s="22"/>
      <x:c r="J15" s="22"/>
      <x:c r="K15" s="28" t="str">
        <x:f>IF(COUNTA(A15:J15)=0,"",IF(OR(A15="",B15="",C15="",D15="",E15="",F15="",I15=""),"不通过：缺少必填项",IF(COUNTIFS($B$5:$B$104,B15,$D$5:$D$104,D15)&gt;1,"不通过：组合明细重复",IF(COUNTIF('检验项目'!$B$5:$B$104,D15)=0,"不通过：项目编码不存在","通过"))))</x:f>
      </x:c>
    </x:row>
    <x:row r="16">
      <x:c r="A16" s="22"/>
      <x:c r="B16" s="22"/>
      <x:c r="C16" s="22"/>
      <x:c r="D16" s="22"/>
      <x:c r="E16" s="34"/>
      <x:c r="F16" s="22"/>
      <x:c r="G16" s="31"/>
      <x:c r="H16" s="31"/>
      <x:c r="I16" s="22"/>
      <x:c r="J16" s="22"/>
      <x:c r="K16" s="28" t="str">
        <x:f>IF(COUNTA(A16:J16)=0,"",IF(OR(A16="",B16="",C16="",D16="",E16="",F16="",I16=""),"不通过：缺少必填项",IF(COUNTIFS($B$5:$B$104,B16,$D$5:$D$104,D16)&gt;1,"不通过：组合明细重复",IF(COUNTIF('检验项目'!$B$5:$B$104,D16)=0,"不通过：项目编码不存在","通过"))))</x:f>
      </x:c>
    </x:row>
    <x:row r="17">
      <x:c r="A17" s="22"/>
      <x:c r="B17" s="22"/>
      <x:c r="C17" s="22"/>
      <x:c r="D17" s="22"/>
      <x:c r="E17" s="34"/>
      <x:c r="F17" s="22"/>
      <x:c r="G17" s="31"/>
      <x:c r="H17" s="31"/>
      <x:c r="I17" s="22"/>
      <x:c r="J17" s="22"/>
      <x:c r="K17" s="28" t="str">
        <x:f>IF(COUNTA(A17:J17)=0,"",IF(OR(A17="",B17="",C17="",D17="",E17="",F17="",I17=""),"不通过：缺少必填项",IF(COUNTIFS($B$5:$B$104,B17,$D$5:$D$104,D17)&gt;1,"不通过：组合明细重复",IF(COUNTIF('检验项目'!$B$5:$B$104,D17)=0,"不通过：项目编码不存在","通过"))))</x:f>
      </x:c>
    </x:row>
    <x:row r="18">
      <x:c r="A18" s="22"/>
      <x:c r="B18" s="22"/>
      <x:c r="C18" s="22"/>
      <x:c r="D18" s="22"/>
      <x:c r="E18" s="34"/>
      <x:c r="F18" s="22"/>
      <x:c r="G18" s="31"/>
      <x:c r="H18" s="31"/>
      <x:c r="I18" s="22"/>
      <x:c r="J18" s="22"/>
      <x:c r="K18" s="28" t="str">
        <x:f>IF(COUNTA(A18:J18)=0,"",IF(OR(A18="",B18="",C18="",D18="",E18="",F18="",I18=""),"不通过：缺少必填项",IF(COUNTIFS($B$5:$B$104,B18,$D$5:$D$104,D18)&gt;1,"不通过：组合明细重复",IF(COUNTIF('检验项目'!$B$5:$B$104,D18)=0,"不通过：项目编码不存在","通过"))))</x:f>
      </x:c>
    </x:row>
    <x:row r="19">
      <x:c r="A19" s="22"/>
      <x:c r="B19" s="22"/>
      <x:c r="C19" s="22"/>
      <x:c r="D19" s="22"/>
      <x:c r="E19" s="34"/>
      <x:c r="F19" s="22"/>
      <x:c r="G19" s="31"/>
      <x:c r="H19" s="31"/>
      <x:c r="I19" s="22"/>
      <x:c r="J19" s="22"/>
      <x:c r="K19" s="28" t="str">
        <x:f>IF(COUNTA(A19:J19)=0,"",IF(OR(A19="",B19="",C19="",D19="",E19="",F19="",I19=""),"不通过：缺少必填项",IF(COUNTIFS($B$5:$B$104,B19,$D$5:$D$104,D19)&gt;1,"不通过：组合明细重复",IF(COUNTIF('检验项目'!$B$5:$B$104,D19)=0,"不通过：项目编码不存在","通过"))))</x:f>
      </x:c>
    </x:row>
    <x:row r="20">
      <x:c r="A20" s="22"/>
      <x:c r="B20" s="22"/>
      <x:c r="C20" s="22"/>
      <x:c r="D20" s="22"/>
      <x:c r="E20" s="34"/>
      <x:c r="F20" s="22"/>
      <x:c r="G20" s="31"/>
      <x:c r="H20" s="31"/>
      <x:c r="I20" s="22"/>
      <x:c r="J20" s="22"/>
      <x:c r="K20" s="28" t="str">
        <x:f>IF(COUNTA(A20:J20)=0,"",IF(OR(A20="",B20="",C20="",D20="",E20="",F20="",I20=""),"不通过：缺少必填项",IF(COUNTIFS($B$5:$B$104,B20,$D$5:$D$104,D20)&gt;1,"不通过：组合明细重复",IF(COUNTIF('检验项目'!$B$5:$B$104,D20)=0,"不通过：项目编码不存在","通过"))))</x:f>
      </x:c>
    </x:row>
    <x:row r="21">
      <x:c r="A21" s="22"/>
      <x:c r="B21" s="22"/>
      <x:c r="C21" s="22"/>
      <x:c r="D21" s="22"/>
      <x:c r="E21" s="34"/>
      <x:c r="F21" s="22"/>
      <x:c r="G21" s="31"/>
      <x:c r="H21" s="31"/>
      <x:c r="I21" s="22"/>
      <x:c r="J21" s="22"/>
      <x:c r="K21" s="28" t="str">
        <x:f>IF(COUNTA(A21:J21)=0,"",IF(OR(A21="",B21="",C21="",D21="",E21="",F21="",I21=""),"不通过：缺少必填项",IF(COUNTIFS($B$5:$B$104,B21,$D$5:$D$104,D21)&gt;1,"不通过：组合明细重复",IF(COUNTIF('检验项目'!$B$5:$B$104,D21)=0,"不通过：项目编码不存在","通过"))))</x:f>
      </x:c>
    </x:row>
    <x:row r="22">
      <x:c r="A22" s="22"/>
      <x:c r="B22" s="22"/>
      <x:c r="C22" s="22"/>
      <x:c r="D22" s="22"/>
      <x:c r="E22" s="34"/>
      <x:c r="F22" s="22"/>
      <x:c r="G22" s="31"/>
      <x:c r="H22" s="31"/>
      <x:c r="I22" s="22"/>
      <x:c r="J22" s="22"/>
      <x:c r="K22" s="28" t="str">
        <x:f>IF(COUNTA(A22:J22)=0,"",IF(OR(A22="",B22="",C22="",D22="",E22="",F22="",I22=""),"不通过：缺少必填项",IF(COUNTIFS($B$5:$B$104,B22,$D$5:$D$104,D22)&gt;1,"不通过：组合明细重复",IF(COUNTIF('检验项目'!$B$5:$B$104,D22)=0,"不通过：项目编码不存在","通过"))))</x:f>
      </x:c>
    </x:row>
    <x:row r="23">
      <x:c r="A23" s="22"/>
      <x:c r="B23" s="22"/>
      <x:c r="C23" s="22"/>
      <x:c r="D23" s="22"/>
      <x:c r="E23" s="34"/>
      <x:c r="F23" s="22"/>
      <x:c r="G23" s="31"/>
      <x:c r="H23" s="31"/>
      <x:c r="I23" s="22"/>
      <x:c r="J23" s="22"/>
      <x:c r="K23" s="28" t="str">
        <x:f>IF(COUNTA(A23:J23)=0,"",IF(OR(A23="",B23="",C23="",D23="",E23="",F23="",I23=""),"不通过：缺少必填项",IF(COUNTIFS($B$5:$B$104,B23,$D$5:$D$104,D23)&gt;1,"不通过：组合明细重复",IF(COUNTIF('检验项目'!$B$5:$B$104,D23)=0,"不通过：项目编码不存在","通过"))))</x:f>
      </x:c>
    </x:row>
    <x:row r="24">
      <x:c r="A24" s="22"/>
      <x:c r="B24" s="22"/>
      <x:c r="C24" s="22"/>
      <x:c r="D24" s="22"/>
      <x:c r="E24" s="34"/>
      <x:c r="F24" s="22"/>
      <x:c r="G24" s="31"/>
      <x:c r="H24" s="31"/>
      <x:c r="I24" s="22"/>
      <x:c r="J24" s="22"/>
      <x:c r="K24" s="28" t="str">
        <x:f>IF(COUNTA(A24:J24)=0,"",IF(OR(A24="",B24="",C24="",D24="",E24="",F24="",I24=""),"不通过：缺少必填项",IF(COUNTIFS($B$5:$B$104,B24,$D$5:$D$104,D24)&gt;1,"不通过：组合明细重复",IF(COUNTIF('检验项目'!$B$5:$B$104,D24)=0,"不通过：项目编码不存在","通过"))))</x:f>
      </x:c>
    </x:row>
    <x:row r="25">
      <x:c r="A25" s="22"/>
      <x:c r="B25" s="22"/>
      <x:c r="C25" s="22"/>
      <x:c r="D25" s="22"/>
      <x:c r="E25" s="34"/>
      <x:c r="F25" s="22"/>
      <x:c r="G25" s="31"/>
      <x:c r="H25" s="31"/>
      <x:c r="I25" s="22"/>
      <x:c r="J25" s="22"/>
      <x:c r="K25" s="28" t="str">
        <x:f>IF(COUNTA(A25:J25)=0,"",IF(OR(A25="",B25="",C25="",D25="",E25="",F25="",I25=""),"不通过：缺少必填项",IF(COUNTIFS($B$5:$B$104,B25,$D$5:$D$104,D25)&gt;1,"不通过：组合明细重复",IF(COUNTIF('检验项目'!$B$5:$B$104,D25)=0,"不通过：项目编码不存在","通过"))))</x:f>
      </x:c>
    </x:row>
    <x:row r="26">
      <x:c r="A26" s="22"/>
      <x:c r="B26" s="22"/>
      <x:c r="C26" s="22"/>
      <x:c r="D26" s="22"/>
      <x:c r="E26" s="34"/>
      <x:c r="F26" s="22"/>
      <x:c r="G26" s="31"/>
      <x:c r="H26" s="31"/>
      <x:c r="I26" s="22"/>
      <x:c r="J26" s="22"/>
      <x:c r="K26" s="28" t="str">
        <x:f>IF(COUNTA(A26:J26)=0,"",IF(OR(A26="",B26="",C26="",D26="",E26="",F26="",I26=""),"不通过：缺少必填项",IF(COUNTIFS($B$5:$B$104,B26,$D$5:$D$104,D26)&gt;1,"不通过：组合明细重复",IF(COUNTIF('检验项目'!$B$5:$B$104,D26)=0,"不通过：项目编码不存在","通过"))))</x:f>
      </x:c>
    </x:row>
    <x:row r="27">
      <x:c r="A27" s="22"/>
      <x:c r="B27" s="22"/>
      <x:c r="C27" s="22"/>
      <x:c r="D27" s="22"/>
      <x:c r="E27" s="34"/>
      <x:c r="F27" s="22"/>
      <x:c r="G27" s="31"/>
      <x:c r="H27" s="31"/>
      <x:c r="I27" s="22"/>
      <x:c r="J27" s="22"/>
      <x:c r="K27" s="28" t="str">
        <x:f>IF(COUNTA(A27:J27)=0,"",IF(OR(A27="",B27="",C27="",D27="",E27="",F27="",I27=""),"不通过：缺少必填项",IF(COUNTIFS($B$5:$B$104,B27,$D$5:$D$104,D27)&gt;1,"不通过：组合明细重复",IF(COUNTIF('检验项目'!$B$5:$B$104,D27)=0,"不通过：项目编码不存在","通过"))))</x:f>
      </x:c>
    </x:row>
    <x:row r="28">
      <x:c r="A28" s="22"/>
      <x:c r="B28" s="22"/>
      <x:c r="C28" s="22"/>
      <x:c r="D28" s="22"/>
      <x:c r="E28" s="34"/>
      <x:c r="F28" s="22"/>
      <x:c r="G28" s="31"/>
      <x:c r="H28" s="31"/>
      <x:c r="I28" s="22"/>
      <x:c r="J28" s="22"/>
      <x:c r="K28" s="28" t="str">
        <x:f>IF(COUNTA(A28:J28)=0,"",IF(OR(A28="",B28="",C28="",D28="",E28="",F28="",I28=""),"不通过：缺少必填项",IF(COUNTIFS($B$5:$B$104,B28,$D$5:$D$104,D28)&gt;1,"不通过：组合明细重复",IF(COUNTIF('检验项目'!$B$5:$B$104,D28)=0,"不通过：项目编码不存在","通过"))))</x:f>
      </x:c>
    </x:row>
    <x:row r="29">
      <x:c r="A29" s="22"/>
      <x:c r="B29" s="22"/>
      <x:c r="C29" s="22"/>
      <x:c r="D29" s="22"/>
      <x:c r="E29" s="34"/>
      <x:c r="F29" s="22"/>
      <x:c r="G29" s="31"/>
      <x:c r="H29" s="31"/>
      <x:c r="I29" s="22"/>
      <x:c r="J29" s="22"/>
      <x:c r="K29" s="28" t="str">
        <x:f>IF(COUNTA(A29:J29)=0,"",IF(OR(A29="",B29="",C29="",D29="",E29="",F29="",I29=""),"不通过：缺少必填项",IF(COUNTIFS($B$5:$B$104,B29,$D$5:$D$104,D29)&gt;1,"不通过：组合明细重复",IF(COUNTIF('检验项目'!$B$5:$B$104,D29)=0,"不通过：项目编码不存在","通过"))))</x:f>
      </x:c>
    </x:row>
    <x:row r="30">
      <x:c r="A30" s="22"/>
      <x:c r="B30" s="22"/>
      <x:c r="C30" s="22"/>
      <x:c r="D30" s="22"/>
      <x:c r="E30" s="34"/>
      <x:c r="F30" s="22"/>
      <x:c r="G30" s="31"/>
      <x:c r="H30" s="31"/>
      <x:c r="I30" s="22"/>
      <x:c r="J30" s="22"/>
      <x:c r="K30" s="28" t="str">
        <x:f>IF(COUNTA(A30:J30)=0,"",IF(OR(A30="",B30="",C30="",D30="",E30="",F30="",I30=""),"不通过：缺少必填项",IF(COUNTIFS($B$5:$B$104,B30,$D$5:$D$104,D30)&gt;1,"不通过：组合明细重复",IF(COUNTIF('检验项目'!$B$5:$B$104,D30)=0,"不通过：项目编码不存在","通过"))))</x:f>
      </x:c>
    </x:row>
    <x:row r="31">
      <x:c r="A31" s="22"/>
      <x:c r="B31" s="22"/>
      <x:c r="C31" s="22"/>
      <x:c r="D31" s="22"/>
      <x:c r="E31" s="34"/>
      <x:c r="F31" s="22"/>
      <x:c r="G31" s="31"/>
      <x:c r="H31" s="31"/>
      <x:c r="I31" s="22"/>
      <x:c r="J31" s="22"/>
      <x:c r="K31" s="28" t="str">
        <x:f>IF(COUNTA(A31:J31)=0,"",IF(OR(A31="",B31="",C31="",D31="",E31="",F31="",I31=""),"不通过：缺少必填项",IF(COUNTIFS($B$5:$B$104,B31,$D$5:$D$104,D31)&gt;1,"不通过：组合明细重复",IF(COUNTIF('检验项目'!$B$5:$B$104,D31)=0,"不通过：项目编码不存在","通过"))))</x:f>
      </x:c>
    </x:row>
    <x:row r="32">
      <x:c r="A32" s="22"/>
      <x:c r="B32" s="22"/>
      <x:c r="C32" s="22"/>
      <x:c r="D32" s="22"/>
      <x:c r="E32" s="34"/>
      <x:c r="F32" s="22"/>
      <x:c r="G32" s="31"/>
      <x:c r="H32" s="31"/>
      <x:c r="I32" s="22"/>
      <x:c r="J32" s="22"/>
      <x:c r="K32" s="28" t="str">
        <x:f>IF(COUNTA(A32:J32)=0,"",IF(OR(A32="",B32="",C32="",D32="",E32="",F32="",I32=""),"不通过：缺少必填项",IF(COUNTIFS($B$5:$B$104,B32,$D$5:$D$104,D32)&gt;1,"不通过：组合明细重复",IF(COUNTIF('检验项目'!$B$5:$B$104,D32)=0,"不通过：项目编码不存在","通过"))))</x:f>
      </x:c>
    </x:row>
    <x:row r="33">
      <x:c r="A33" s="22"/>
      <x:c r="B33" s="22"/>
      <x:c r="C33" s="22"/>
      <x:c r="D33" s="22"/>
      <x:c r="E33" s="34"/>
      <x:c r="F33" s="22"/>
      <x:c r="G33" s="31"/>
      <x:c r="H33" s="31"/>
      <x:c r="I33" s="22"/>
      <x:c r="J33" s="22"/>
      <x:c r="K33" s="28" t="str">
        <x:f>IF(COUNTA(A33:J33)=0,"",IF(OR(A33="",B33="",C33="",D33="",E33="",F33="",I33=""),"不通过：缺少必填项",IF(COUNTIFS($B$5:$B$104,B33,$D$5:$D$104,D33)&gt;1,"不通过：组合明细重复",IF(COUNTIF('检验项目'!$B$5:$B$104,D33)=0,"不通过：项目编码不存在","通过"))))</x:f>
      </x:c>
    </x:row>
    <x:row r="34">
      <x:c r="A34" s="22"/>
      <x:c r="B34" s="22"/>
      <x:c r="C34" s="22"/>
      <x:c r="D34" s="22"/>
      <x:c r="E34" s="34"/>
      <x:c r="F34" s="22"/>
      <x:c r="G34" s="31"/>
      <x:c r="H34" s="31"/>
      <x:c r="I34" s="22"/>
      <x:c r="J34" s="22"/>
      <x:c r="K34" s="28" t="str">
        <x:f>IF(COUNTA(A34:J34)=0,"",IF(OR(A34="",B34="",C34="",D34="",E34="",F34="",I34=""),"不通过：缺少必填项",IF(COUNTIFS($B$5:$B$104,B34,$D$5:$D$104,D34)&gt;1,"不通过：组合明细重复",IF(COUNTIF('检验项目'!$B$5:$B$104,D34)=0,"不通过：项目编码不存在","通过"))))</x:f>
      </x:c>
    </x:row>
    <x:row r="35">
      <x:c r="A35" s="22"/>
      <x:c r="B35" s="22"/>
      <x:c r="C35" s="22"/>
      <x:c r="D35" s="22"/>
      <x:c r="E35" s="34"/>
      <x:c r="F35" s="22"/>
      <x:c r="G35" s="31"/>
      <x:c r="H35" s="31"/>
      <x:c r="I35" s="22"/>
      <x:c r="J35" s="22"/>
      <x:c r="K35" s="28" t="str">
        <x:f>IF(COUNTA(A35:J35)=0,"",IF(OR(A35="",B35="",C35="",D35="",E35="",F35="",I35=""),"不通过：缺少必填项",IF(COUNTIFS($B$5:$B$104,B35,$D$5:$D$104,D35)&gt;1,"不通过：组合明细重复",IF(COUNTIF('检验项目'!$B$5:$B$104,D35)=0,"不通过：项目编码不存在","通过"))))</x:f>
      </x:c>
    </x:row>
    <x:row r="36">
      <x:c r="A36" s="22"/>
      <x:c r="B36" s="22"/>
      <x:c r="C36" s="22"/>
      <x:c r="D36" s="22"/>
      <x:c r="E36" s="34"/>
      <x:c r="F36" s="22"/>
      <x:c r="G36" s="31"/>
      <x:c r="H36" s="31"/>
      <x:c r="I36" s="22"/>
      <x:c r="J36" s="22"/>
      <x:c r="K36" s="28" t="str">
        <x:f>IF(COUNTA(A36:J36)=0,"",IF(OR(A36="",B36="",C36="",D36="",E36="",F36="",I36=""),"不通过：缺少必填项",IF(COUNTIFS($B$5:$B$104,B36,$D$5:$D$104,D36)&gt;1,"不通过：组合明细重复",IF(COUNTIF('检验项目'!$B$5:$B$104,D36)=0,"不通过：项目编码不存在","通过"))))</x:f>
      </x:c>
    </x:row>
    <x:row r="37">
      <x:c r="A37" s="22"/>
      <x:c r="B37" s="22"/>
      <x:c r="C37" s="22"/>
      <x:c r="D37" s="22"/>
      <x:c r="E37" s="34"/>
      <x:c r="F37" s="22"/>
      <x:c r="G37" s="31"/>
      <x:c r="H37" s="31"/>
      <x:c r="I37" s="22"/>
      <x:c r="J37" s="22"/>
      <x:c r="K37" s="28" t="str">
        <x:f>IF(COUNTA(A37:J37)=0,"",IF(OR(A37="",B37="",C37="",D37="",E37="",F37="",I37=""),"不通过：缺少必填项",IF(COUNTIFS($B$5:$B$104,B37,$D$5:$D$104,D37)&gt;1,"不通过：组合明细重复",IF(COUNTIF('检验项目'!$B$5:$B$104,D37)=0,"不通过：项目编码不存在","通过"))))</x:f>
      </x:c>
    </x:row>
    <x:row r="38">
      <x:c r="A38" s="22"/>
      <x:c r="B38" s="22"/>
      <x:c r="C38" s="22"/>
      <x:c r="D38" s="22"/>
      <x:c r="E38" s="34"/>
      <x:c r="F38" s="22"/>
      <x:c r="G38" s="31"/>
      <x:c r="H38" s="31"/>
      <x:c r="I38" s="22"/>
      <x:c r="J38" s="22"/>
      <x:c r="K38" s="28" t="str">
        <x:f>IF(COUNTA(A38:J38)=0,"",IF(OR(A38="",B38="",C38="",D38="",E38="",F38="",I38=""),"不通过：缺少必填项",IF(COUNTIFS($B$5:$B$104,B38,$D$5:$D$104,D38)&gt;1,"不通过：组合明细重复",IF(COUNTIF('检验项目'!$B$5:$B$104,D38)=0,"不通过：项目编码不存在","通过"))))</x:f>
      </x:c>
    </x:row>
    <x:row r="39">
      <x:c r="A39" s="22"/>
      <x:c r="B39" s="22"/>
      <x:c r="C39" s="22"/>
      <x:c r="D39" s="22"/>
      <x:c r="E39" s="34"/>
      <x:c r="F39" s="22"/>
      <x:c r="G39" s="31"/>
      <x:c r="H39" s="31"/>
      <x:c r="I39" s="22"/>
      <x:c r="J39" s="22"/>
      <x:c r="K39" s="28" t="str">
        <x:f>IF(COUNTA(A39:J39)=0,"",IF(OR(A39="",B39="",C39="",D39="",E39="",F39="",I39=""),"不通过：缺少必填项",IF(COUNTIFS($B$5:$B$104,B39,$D$5:$D$104,D39)&gt;1,"不通过：组合明细重复",IF(COUNTIF('检验项目'!$B$5:$B$104,D39)=0,"不通过：项目编码不存在","通过"))))</x:f>
      </x:c>
    </x:row>
    <x:row r="40">
      <x:c r="A40" s="22"/>
      <x:c r="B40" s="22"/>
      <x:c r="C40" s="22"/>
      <x:c r="D40" s="22"/>
      <x:c r="E40" s="34"/>
      <x:c r="F40" s="22"/>
      <x:c r="G40" s="31"/>
      <x:c r="H40" s="31"/>
      <x:c r="I40" s="22"/>
      <x:c r="J40" s="22"/>
      <x:c r="K40" s="28" t="str">
        <x:f>IF(COUNTA(A40:J40)=0,"",IF(OR(A40="",B40="",C40="",D40="",E40="",F40="",I40=""),"不通过：缺少必填项",IF(COUNTIFS($B$5:$B$104,B40,$D$5:$D$104,D40)&gt;1,"不通过：组合明细重复",IF(COUNTIF('检验项目'!$B$5:$B$104,D40)=0,"不通过：项目编码不存在","通过"))))</x:f>
      </x:c>
    </x:row>
    <x:row r="41">
      <x:c r="A41" s="22"/>
      <x:c r="B41" s="22"/>
      <x:c r="C41" s="22"/>
      <x:c r="D41" s="22"/>
      <x:c r="E41" s="34"/>
      <x:c r="F41" s="22"/>
      <x:c r="G41" s="31"/>
      <x:c r="H41" s="31"/>
      <x:c r="I41" s="22"/>
      <x:c r="J41" s="22"/>
      <x:c r="K41" s="28" t="str">
        <x:f>IF(COUNTA(A41:J41)=0,"",IF(OR(A41="",B41="",C41="",D41="",E41="",F41="",I41=""),"不通过：缺少必填项",IF(COUNTIFS($B$5:$B$104,B41,$D$5:$D$104,D41)&gt;1,"不通过：组合明细重复",IF(COUNTIF('检验项目'!$B$5:$B$104,D41)=0,"不通过：项目编码不存在","通过"))))</x:f>
      </x:c>
    </x:row>
    <x:row r="42">
      <x:c r="A42" s="22"/>
      <x:c r="B42" s="22"/>
      <x:c r="C42" s="22"/>
      <x:c r="D42" s="22"/>
      <x:c r="E42" s="34"/>
      <x:c r="F42" s="22"/>
      <x:c r="G42" s="31"/>
      <x:c r="H42" s="31"/>
      <x:c r="I42" s="22"/>
      <x:c r="J42" s="22"/>
      <x:c r="K42" s="28" t="str">
        <x:f>IF(COUNTA(A42:J42)=0,"",IF(OR(A42="",B42="",C42="",D42="",E42="",F42="",I42=""),"不通过：缺少必填项",IF(COUNTIFS($B$5:$B$104,B42,$D$5:$D$104,D42)&gt;1,"不通过：组合明细重复",IF(COUNTIF('检验项目'!$B$5:$B$104,D42)=0,"不通过：项目编码不存在","通过"))))</x:f>
      </x:c>
    </x:row>
    <x:row r="43">
      <x:c r="A43" s="22"/>
      <x:c r="B43" s="22"/>
      <x:c r="C43" s="22"/>
      <x:c r="D43" s="22"/>
      <x:c r="E43" s="34"/>
      <x:c r="F43" s="22"/>
      <x:c r="G43" s="31"/>
      <x:c r="H43" s="31"/>
      <x:c r="I43" s="22"/>
      <x:c r="J43" s="22"/>
      <x:c r="K43" s="28" t="str">
        <x:f>IF(COUNTA(A43:J43)=0,"",IF(OR(A43="",B43="",C43="",D43="",E43="",F43="",I43=""),"不通过：缺少必填项",IF(COUNTIFS($B$5:$B$104,B43,$D$5:$D$104,D43)&gt;1,"不通过：组合明细重复",IF(COUNTIF('检验项目'!$B$5:$B$104,D43)=0,"不通过：项目编码不存在","通过"))))</x:f>
      </x:c>
    </x:row>
    <x:row r="44">
      <x:c r="A44" s="22"/>
      <x:c r="B44" s="22"/>
      <x:c r="C44" s="22"/>
      <x:c r="D44" s="22"/>
      <x:c r="E44" s="34"/>
      <x:c r="F44" s="22"/>
      <x:c r="G44" s="31"/>
      <x:c r="H44" s="31"/>
      <x:c r="I44" s="22"/>
      <x:c r="J44" s="22"/>
      <x:c r="K44" s="28" t="str">
        <x:f>IF(COUNTA(A44:J44)=0,"",IF(OR(A44="",B44="",C44="",D44="",E44="",F44="",I44=""),"不通过：缺少必填项",IF(COUNTIFS($B$5:$B$104,B44,$D$5:$D$104,D44)&gt;1,"不通过：组合明细重复",IF(COUNTIF('检验项目'!$B$5:$B$104,D44)=0,"不通过：项目编码不存在","通过"))))</x:f>
      </x:c>
    </x:row>
    <x:row r="45">
      <x:c r="A45" s="22"/>
      <x:c r="B45" s="22"/>
      <x:c r="C45" s="22"/>
      <x:c r="D45" s="22"/>
      <x:c r="E45" s="34"/>
      <x:c r="F45" s="22"/>
      <x:c r="G45" s="31"/>
      <x:c r="H45" s="31"/>
      <x:c r="I45" s="22"/>
      <x:c r="J45" s="22"/>
      <x:c r="K45" s="28" t="str">
        <x:f>IF(COUNTA(A45:J45)=0,"",IF(OR(A45="",B45="",C45="",D45="",E45="",F45="",I45=""),"不通过：缺少必填项",IF(COUNTIFS($B$5:$B$104,B45,$D$5:$D$104,D45)&gt;1,"不通过：组合明细重复",IF(COUNTIF('检验项目'!$B$5:$B$104,D45)=0,"不通过：项目编码不存在","通过"))))</x:f>
      </x:c>
    </x:row>
    <x:row r="46">
      <x:c r="A46" s="22"/>
      <x:c r="B46" s="22"/>
      <x:c r="C46" s="22"/>
      <x:c r="D46" s="22"/>
      <x:c r="E46" s="34"/>
      <x:c r="F46" s="22"/>
      <x:c r="G46" s="31"/>
      <x:c r="H46" s="31"/>
      <x:c r="I46" s="22"/>
      <x:c r="J46" s="22"/>
      <x:c r="K46" s="28" t="str">
        <x:f>IF(COUNTA(A46:J46)=0,"",IF(OR(A46="",B46="",C46="",D46="",E46="",F46="",I46=""),"不通过：缺少必填项",IF(COUNTIFS($B$5:$B$104,B46,$D$5:$D$104,D46)&gt;1,"不通过：组合明细重复",IF(COUNTIF('检验项目'!$B$5:$B$104,D46)=0,"不通过：项目编码不存在","通过"))))</x:f>
      </x:c>
    </x:row>
    <x:row r="47">
      <x:c r="A47" s="22"/>
      <x:c r="B47" s="22"/>
      <x:c r="C47" s="22"/>
      <x:c r="D47" s="22"/>
      <x:c r="E47" s="34"/>
      <x:c r="F47" s="22"/>
      <x:c r="G47" s="31"/>
      <x:c r="H47" s="31"/>
      <x:c r="I47" s="22"/>
      <x:c r="J47" s="22"/>
      <x:c r="K47" s="28" t="str">
        <x:f>IF(COUNTA(A47:J47)=0,"",IF(OR(A47="",B47="",C47="",D47="",E47="",F47="",I47=""),"不通过：缺少必填项",IF(COUNTIFS($B$5:$B$104,B47,$D$5:$D$104,D47)&gt;1,"不通过：组合明细重复",IF(COUNTIF('检验项目'!$B$5:$B$104,D47)=0,"不通过：项目编码不存在","通过"))))</x:f>
      </x:c>
    </x:row>
    <x:row r="48">
      <x:c r="A48" s="22"/>
      <x:c r="B48" s="22"/>
      <x:c r="C48" s="22"/>
      <x:c r="D48" s="22"/>
      <x:c r="E48" s="34"/>
      <x:c r="F48" s="22"/>
      <x:c r="G48" s="31"/>
      <x:c r="H48" s="31"/>
      <x:c r="I48" s="22"/>
      <x:c r="J48" s="22"/>
      <x:c r="K48" s="28" t="str">
        <x:f>IF(COUNTA(A48:J48)=0,"",IF(OR(A48="",B48="",C48="",D48="",E48="",F48="",I48=""),"不通过：缺少必填项",IF(COUNTIFS($B$5:$B$104,B48,$D$5:$D$104,D48)&gt;1,"不通过：组合明细重复",IF(COUNTIF('检验项目'!$B$5:$B$104,D48)=0,"不通过：项目编码不存在","通过"))))</x:f>
      </x:c>
    </x:row>
    <x:row r="49">
      <x:c r="A49" s="22"/>
      <x:c r="B49" s="22"/>
      <x:c r="C49" s="22"/>
      <x:c r="D49" s="22"/>
      <x:c r="E49" s="34"/>
      <x:c r="F49" s="22"/>
      <x:c r="G49" s="31"/>
      <x:c r="H49" s="31"/>
      <x:c r="I49" s="22"/>
      <x:c r="J49" s="22"/>
      <x:c r="K49" s="28" t="str">
        <x:f>IF(COUNTA(A49:J49)=0,"",IF(OR(A49="",B49="",C49="",D49="",E49="",F49="",I49=""),"不通过：缺少必填项",IF(COUNTIFS($B$5:$B$104,B49,$D$5:$D$104,D49)&gt;1,"不通过：组合明细重复",IF(COUNTIF('检验项目'!$B$5:$B$104,D49)=0,"不通过：项目编码不存在","通过"))))</x:f>
      </x:c>
    </x:row>
    <x:row r="50">
      <x:c r="A50" s="22"/>
      <x:c r="B50" s="22"/>
      <x:c r="C50" s="22"/>
      <x:c r="D50" s="22"/>
      <x:c r="E50" s="34"/>
      <x:c r="F50" s="22"/>
      <x:c r="G50" s="31"/>
      <x:c r="H50" s="31"/>
      <x:c r="I50" s="22"/>
      <x:c r="J50" s="22"/>
      <x:c r="K50" s="28" t="str">
        <x:f>IF(COUNTA(A50:J50)=0,"",IF(OR(A50="",B50="",C50="",D50="",E50="",F50="",I50=""),"不通过：缺少必填项",IF(COUNTIFS($B$5:$B$104,B50,$D$5:$D$104,D50)&gt;1,"不通过：组合明细重复",IF(COUNTIF('检验项目'!$B$5:$B$104,D50)=0,"不通过：项目编码不存在","通过"))))</x:f>
      </x:c>
    </x:row>
    <x:row r="51">
      <x:c r="A51" s="22"/>
      <x:c r="B51" s="22"/>
      <x:c r="C51" s="22"/>
      <x:c r="D51" s="22"/>
      <x:c r="E51" s="34"/>
      <x:c r="F51" s="22"/>
      <x:c r="G51" s="31"/>
      <x:c r="H51" s="31"/>
      <x:c r="I51" s="22"/>
      <x:c r="J51" s="22"/>
      <x:c r="K51" s="28" t="str">
        <x:f>IF(COUNTA(A51:J51)=0,"",IF(OR(A51="",B51="",C51="",D51="",E51="",F51="",I51=""),"不通过：缺少必填项",IF(COUNTIFS($B$5:$B$104,B51,$D$5:$D$104,D51)&gt;1,"不通过：组合明细重复",IF(COUNTIF('检验项目'!$B$5:$B$104,D51)=0,"不通过：项目编码不存在","通过"))))</x:f>
      </x:c>
    </x:row>
    <x:row r="52">
      <x:c r="A52" s="22"/>
      <x:c r="B52" s="22"/>
      <x:c r="C52" s="22"/>
      <x:c r="D52" s="22"/>
      <x:c r="E52" s="34"/>
      <x:c r="F52" s="22"/>
      <x:c r="G52" s="31"/>
      <x:c r="H52" s="31"/>
      <x:c r="I52" s="22"/>
      <x:c r="J52" s="22"/>
      <x:c r="K52" s="28" t="str">
        <x:f>IF(COUNTA(A52:J52)=0,"",IF(OR(A52="",B52="",C52="",D52="",E52="",F52="",I52=""),"不通过：缺少必填项",IF(COUNTIFS($B$5:$B$104,B52,$D$5:$D$104,D52)&gt;1,"不通过：组合明细重复",IF(COUNTIF('检验项目'!$B$5:$B$104,D52)=0,"不通过：项目编码不存在","通过"))))</x:f>
      </x:c>
    </x:row>
    <x:row r="53">
      <x:c r="A53" s="22"/>
      <x:c r="B53" s="22"/>
      <x:c r="C53" s="22"/>
      <x:c r="D53" s="22"/>
      <x:c r="E53" s="34"/>
      <x:c r="F53" s="22"/>
      <x:c r="G53" s="31"/>
      <x:c r="H53" s="31"/>
      <x:c r="I53" s="22"/>
      <x:c r="J53" s="22"/>
      <x:c r="K53" s="28" t="str">
        <x:f>IF(COUNTA(A53:J53)=0,"",IF(OR(A53="",B53="",C53="",D53="",E53="",F53="",I53=""),"不通过：缺少必填项",IF(COUNTIFS($B$5:$B$104,B53,$D$5:$D$104,D53)&gt;1,"不通过：组合明细重复",IF(COUNTIF('检验项目'!$B$5:$B$104,D53)=0,"不通过：项目编码不存在","通过"))))</x:f>
      </x:c>
    </x:row>
    <x:row r="54">
      <x:c r="A54" s="22"/>
      <x:c r="B54" s="22"/>
      <x:c r="C54" s="22"/>
      <x:c r="D54" s="22"/>
      <x:c r="E54" s="34"/>
      <x:c r="F54" s="22"/>
      <x:c r="G54" s="31"/>
      <x:c r="H54" s="31"/>
      <x:c r="I54" s="22"/>
      <x:c r="J54" s="22"/>
      <x:c r="K54" s="28" t="str">
        <x:f>IF(COUNTA(A54:J54)=0,"",IF(OR(A54="",B54="",C54="",D54="",E54="",F54="",I54=""),"不通过：缺少必填项",IF(COUNTIFS($B$5:$B$104,B54,$D$5:$D$104,D54)&gt;1,"不通过：组合明细重复",IF(COUNTIF('检验项目'!$B$5:$B$104,D54)=0,"不通过：项目编码不存在","通过"))))</x:f>
      </x:c>
    </x:row>
    <x:row r="55">
      <x:c r="A55" s="22"/>
      <x:c r="B55" s="22"/>
      <x:c r="C55" s="22"/>
      <x:c r="D55" s="22"/>
      <x:c r="E55" s="34"/>
      <x:c r="F55" s="22"/>
      <x:c r="G55" s="31"/>
      <x:c r="H55" s="31"/>
      <x:c r="I55" s="22"/>
      <x:c r="J55" s="22"/>
      <x:c r="K55" s="28" t="str">
        <x:f>IF(COUNTA(A55:J55)=0,"",IF(OR(A55="",B55="",C55="",D55="",E55="",F55="",I55=""),"不通过：缺少必填项",IF(COUNTIFS($B$5:$B$104,B55,$D$5:$D$104,D55)&gt;1,"不通过：组合明细重复",IF(COUNTIF('检验项目'!$B$5:$B$104,D55)=0,"不通过：项目编码不存在","通过"))))</x:f>
      </x:c>
    </x:row>
    <x:row r="56">
      <x:c r="A56" s="22"/>
      <x:c r="B56" s="22"/>
      <x:c r="C56" s="22"/>
      <x:c r="D56" s="22"/>
      <x:c r="E56" s="34"/>
      <x:c r="F56" s="22"/>
      <x:c r="G56" s="31"/>
      <x:c r="H56" s="31"/>
      <x:c r="I56" s="22"/>
      <x:c r="J56" s="22"/>
      <x:c r="K56" s="28" t="str">
        <x:f>IF(COUNTA(A56:J56)=0,"",IF(OR(A56="",B56="",C56="",D56="",E56="",F56="",I56=""),"不通过：缺少必填项",IF(COUNTIFS($B$5:$B$104,B56,$D$5:$D$104,D56)&gt;1,"不通过：组合明细重复",IF(COUNTIF('检验项目'!$B$5:$B$104,D56)=0,"不通过：项目编码不存在","通过"))))</x:f>
      </x:c>
    </x:row>
    <x:row r="57">
      <x:c r="A57" s="22"/>
      <x:c r="B57" s="22"/>
      <x:c r="C57" s="22"/>
      <x:c r="D57" s="22"/>
      <x:c r="E57" s="34"/>
      <x:c r="F57" s="22"/>
      <x:c r="G57" s="31"/>
      <x:c r="H57" s="31"/>
      <x:c r="I57" s="22"/>
      <x:c r="J57" s="22"/>
      <x:c r="K57" s="28" t="str">
        <x:f>IF(COUNTA(A57:J57)=0,"",IF(OR(A57="",B57="",C57="",D57="",E57="",F57="",I57=""),"不通过：缺少必填项",IF(COUNTIFS($B$5:$B$104,B57,$D$5:$D$104,D57)&gt;1,"不通过：组合明细重复",IF(COUNTIF('检验项目'!$B$5:$B$104,D57)=0,"不通过：项目编码不存在","通过"))))</x:f>
      </x:c>
    </x:row>
    <x:row r="58">
      <x:c r="A58" s="22"/>
      <x:c r="B58" s="22"/>
      <x:c r="C58" s="22"/>
      <x:c r="D58" s="22"/>
      <x:c r="E58" s="34"/>
      <x:c r="F58" s="22"/>
      <x:c r="G58" s="31"/>
      <x:c r="H58" s="31"/>
      <x:c r="I58" s="22"/>
      <x:c r="J58" s="22"/>
      <x:c r="K58" s="28" t="str">
        <x:f>IF(COUNTA(A58:J58)=0,"",IF(OR(A58="",B58="",C58="",D58="",E58="",F58="",I58=""),"不通过：缺少必填项",IF(COUNTIFS($B$5:$B$104,B58,$D$5:$D$104,D58)&gt;1,"不通过：组合明细重复",IF(COUNTIF('检验项目'!$B$5:$B$104,D58)=0,"不通过：项目编码不存在","通过"))))</x:f>
      </x:c>
    </x:row>
    <x:row r="59">
      <x:c r="A59" s="22"/>
      <x:c r="B59" s="22"/>
      <x:c r="C59" s="22"/>
      <x:c r="D59" s="22"/>
      <x:c r="E59" s="34"/>
      <x:c r="F59" s="22"/>
      <x:c r="G59" s="31"/>
      <x:c r="H59" s="31"/>
      <x:c r="I59" s="22"/>
      <x:c r="J59" s="22"/>
      <x:c r="K59" s="28" t="str">
        <x:f>IF(COUNTA(A59:J59)=0,"",IF(OR(A59="",B59="",C59="",D59="",E59="",F59="",I59=""),"不通过：缺少必填项",IF(COUNTIFS($B$5:$B$104,B59,$D$5:$D$104,D59)&gt;1,"不通过：组合明细重复",IF(COUNTIF('检验项目'!$B$5:$B$104,D59)=0,"不通过：项目编码不存在","通过"))))</x:f>
      </x:c>
    </x:row>
    <x:row r="60">
      <x:c r="A60" s="22"/>
      <x:c r="B60" s="22"/>
      <x:c r="C60" s="22"/>
      <x:c r="D60" s="22"/>
      <x:c r="E60" s="34"/>
      <x:c r="F60" s="22"/>
      <x:c r="G60" s="31"/>
      <x:c r="H60" s="31"/>
      <x:c r="I60" s="22"/>
      <x:c r="J60" s="22"/>
      <x:c r="K60" s="28" t="str">
        <x:f>IF(COUNTA(A60:J60)=0,"",IF(OR(A60="",B60="",C60="",D60="",E60="",F60="",I60=""),"不通过：缺少必填项",IF(COUNTIFS($B$5:$B$104,B60,$D$5:$D$104,D60)&gt;1,"不通过：组合明细重复",IF(COUNTIF('检验项目'!$B$5:$B$104,D60)=0,"不通过：项目编码不存在","通过"))))</x:f>
      </x:c>
    </x:row>
    <x:row r="61">
      <x:c r="A61" s="22"/>
      <x:c r="B61" s="22"/>
      <x:c r="C61" s="22"/>
      <x:c r="D61" s="22"/>
      <x:c r="E61" s="34"/>
      <x:c r="F61" s="22"/>
      <x:c r="G61" s="31"/>
      <x:c r="H61" s="31"/>
      <x:c r="I61" s="22"/>
      <x:c r="J61" s="22"/>
      <x:c r="K61" s="28" t="str">
        <x:f>IF(COUNTA(A61:J61)=0,"",IF(OR(A61="",B61="",C61="",D61="",E61="",F61="",I61=""),"不通过：缺少必填项",IF(COUNTIFS($B$5:$B$104,B61,$D$5:$D$104,D61)&gt;1,"不通过：组合明细重复",IF(COUNTIF('检验项目'!$B$5:$B$104,D61)=0,"不通过：项目编码不存在","通过"))))</x:f>
      </x:c>
    </x:row>
    <x:row r="62">
      <x:c r="A62" s="22"/>
      <x:c r="B62" s="22"/>
      <x:c r="C62" s="22"/>
      <x:c r="D62" s="22"/>
      <x:c r="E62" s="34"/>
      <x:c r="F62" s="22"/>
      <x:c r="G62" s="31"/>
      <x:c r="H62" s="31"/>
      <x:c r="I62" s="22"/>
      <x:c r="J62" s="22"/>
      <x:c r="K62" s="28" t="str">
        <x:f>IF(COUNTA(A62:J62)=0,"",IF(OR(A62="",B62="",C62="",D62="",E62="",F62="",I62=""),"不通过：缺少必填项",IF(COUNTIFS($B$5:$B$104,B62,$D$5:$D$104,D62)&gt;1,"不通过：组合明细重复",IF(COUNTIF('检验项目'!$B$5:$B$104,D62)=0,"不通过：项目编码不存在","通过"))))</x:f>
      </x:c>
    </x:row>
    <x:row r="63">
      <x:c r="A63" s="22"/>
      <x:c r="B63" s="22"/>
      <x:c r="C63" s="22"/>
      <x:c r="D63" s="22"/>
      <x:c r="E63" s="34"/>
      <x:c r="F63" s="22"/>
      <x:c r="G63" s="31"/>
      <x:c r="H63" s="31"/>
      <x:c r="I63" s="22"/>
      <x:c r="J63" s="22"/>
      <x:c r="K63" s="28" t="str">
        <x:f>IF(COUNTA(A63:J63)=0,"",IF(OR(A63="",B63="",C63="",D63="",E63="",F63="",I63=""),"不通过：缺少必填项",IF(COUNTIFS($B$5:$B$104,B63,$D$5:$D$104,D63)&gt;1,"不通过：组合明细重复",IF(COUNTIF('检验项目'!$B$5:$B$104,D63)=0,"不通过：项目编码不存在","通过"))))</x:f>
      </x:c>
    </x:row>
    <x:row r="64">
      <x:c r="A64" s="22"/>
      <x:c r="B64" s="22"/>
      <x:c r="C64" s="22"/>
      <x:c r="D64" s="22"/>
      <x:c r="E64" s="34"/>
      <x:c r="F64" s="22"/>
      <x:c r="G64" s="31"/>
      <x:c r="H64" s="31"/>
      <x:c r="I64" s="22"/>
      <x:c r="J64" s="22"/>
      <x:c r="K64" s="28" t="str">
        <x:f>IF(COUNTA(A64:J64)=0,"",IF(OR(A64="",B64="",C64="",D64="",E64="",F64="",I64=""),"不通过：缺少必填项",IF(COUNTIFS($B$5:$B$104,B64,$D$5:$D$104,D64)&gt;1,"不通过：组合明细重复",IF(COUNTIF('检验项目'!$B$5:$B$104,D64)=0,"不通过：项目编码不存在","通过"))))</x:f>
      </x:c>
    </x:row>
    <x:row r="65">
      <x:c r="A65" s="22"/>
      <x:c r="B65" s="22"/>
      <x:c r="C65" s="22"/>
      <x:c r="D65" s="22"/>
      <x:c r="E65" s="34"/>
      <x:c r="F65" s="22"/>
      <x:c r="G65" s="31"/>
      <x:c r="H65" s="31"/>
      <x:c r="I65" s="22"/>
      <x:c r="J65" s="22"/>
      <x:c r="K65" s="28" t="str">
        <x:f>IF(COUNTA(A65:J65)=0,"",IF(OR(A65="",B65="",C65="",D65="",E65="",F65="",I65=""),"不通过：缺少必填项",IF(COUNTIFS($B$5:$B$104,B65,$D$5:$D$104,D65)&gt;1,"不通过：组合明细重复",IF(COUNTIF('检验项目'!$B$5:$B$104,D65)=0,"不通过：项目编码不存在","通过"))))</x:f>
      </x:c>
    </x:row>
    <x:row r="66">
      <x:c r="A66" s="22"/>
      <x:c r="B66" s="22"/>
      <x:c r="C66" s="22"/>
      <x:c r="D66" s="22"/>
      <x:c r="E66" s="34"/>
      <x:c r="F66" s="22"/>
      <x:c r="G66" s="31"/>
      <x:c r="H66" s="31"/>
      <x:c r="I66" s="22"/>
      <x:c r="J66" s="22"/>
      <x:c r="K66" s="28" t="str">
        <x:f>IF(COUNTA(A66:J66)=0,"",IF(OR(A66="",B66="",C66="",D66="",E66="",F66="",I66=""),"不通过：缺少必填项",IF(COUNTIFS($B$5:$B$104,B66,$D$5:$D$104,D66)&gt;1,"不通过：组合明细重复",IF(COUNTIF('检验项目'!$B$5:$B$104,D66)=0,"不通过：项目编码不存在","通过"))))</x:f>
      </x:c>
    </x:row>
    <x:row r="67">
      <x:c r="A67" s="22"/>
      <x:c r="B67" s="22"/>
      <x:c r="C67" s="22"/>
      <x:c r="D67" s="22"/>
      <x:c r="E67" s="34"/>
      <x:c r="F67" s="22"/>
      <x:c r="G67" s="31"/>
      <x:c r="H67" s="31"/>
      <x:c r="I67" s="22"/>
      <x:c r="J67" s="22"/>
      <x:c r="K67" s="28" t="str">
        <x:f>IF(COUNTA(A67:J67)=0,"",IF(OR(A67="",B67="",C67="",D67="",E67="",F67="",I67=""),"不通过：缺少必填项",IF(COUNTIFS($B$5:$B$104,B67,$D$5:$D$104,D67)&gt;1,"不通过：组合明细重复",IF(COUNTIF('检验项目'!$B$5:$B$104,D67)=0,"不通过：项目编码不存在","通过"))))</x:f>
      </x:c>
    </x:row>
    <x:row r="68">
      <x:c r="A68" s="22"/>
      <x:c r="B68" s="22"/>
      <x:c r="C68" s="22"/>
      <x:c r="D68" s="22"/>
      <x:c r="E68" s="34"/>
      <x:c r="F68" s="22"/>
      <x:c r="G68" s="31"/>
      <x:c r="H68" s="31"/>
      <x:c r="I68" s="22"/>
      <x:c r="J68" s="22"/>
      <x:c r="K68" s="28" t="str">
        <x:f>IF(COUNTA(A68:J68)=0,"",IF(OR(A68="",B68="",C68="",D68="",E68="",F68="",I68=""),"不通过：缺少必填项",IF(COUNTIFS($B$5:$B$104,B68,$D$5:$D$104,D68)&gt;1,"不通过：组合明细重复",IF(COUNTIF('检验项目'!$B$5:$B$104,D68)=0,"不通过：项目编码不存在","通过"))))</x:f>
      </x:c>
    </x:row>
    <x:row r="69">
      <x:c r="A69" s="22"/>
      <x:c r="B69" s="22"/>
      <x:c r="C69" s="22"/>
      <x:c r="D69" s="22"/>
      <x:c r="E69" s="34"/>
      <x:c r="F69" s="22"/>
      <x:c r="G69" s="31"/>
      <x:c r="H69" s="31"/>
      <x:c r="I69" s="22"/>
      <x:c r="J69" s="22"/>
      <x:c r="K69" s="28" t="str">
        <x:f>IF(COUNTA(A69:J69)=0,"",IF(OR(A69="",B69="",C69="",D69="",E69="",F69="",I69=""),"不通过：缺少必填项",IF(COUNTIFS($B$5:$B$104,B69,$D$5:$D$104,D69)&gt;1,"不通过：组合明细重复",IF(COUNTIF('检验项目'!$B$5:$B$104,D69)=0,"不通过：项目编码不存在","通过"))))</x:f>
      </x:c>
    </x:row>
    <x:row r="70">
      <x:c r="A70" s="22"/>
      <x:c r="B70" s="22"/>
      <x:c r="C70" s="22"/>
      <x:c r="D70" s="22"/>
      <x:c r="E70" s="34"/>
      <x:c r="F70" s="22"/>
      <x:c r="G70" s="31"/>
      <x:c r="H70" s="31"/>
      <x:c r="I70" s="22"/>
      <x:c r="J70" s="22"/>
      <x:c r="K70" s="28" t="str">
        <x:f>IF(COUNTA(A70:J70)=0,"",IF(OR(A70="",B70="",C70="",D70="",E70="",F70="",I70=""),"不通过：缺少必填项",IF(COUNTIFS($B$5:$B$104,B70,$D$5:$D$104,D70)&gt;1,"不通过：组合明细重复",IF(COUNTIF('检验项目'!$B$5:$B$104,D70)=0,"不通过：项目编码不存在","通过"))))</x:f>
      </x:c>
    </x:row>
    <x:row r="71">
      <x:c r="A71" s="22"/>
      <x:c r="B71" s="22"/>
      <x:c r="C71" s="22"/>
      <x:c r="D71" s="22"/>
      <x:c r="E71" s="34"/>
      <x:c r="F71" s="22"/>
      <x:c r="G71" s="31"/>
      <x:c r="H71" s="31"/>
      <x:c r="I71" s="22"/>
      <x:c r="J71" s="22"/>
      <x:c r="K71" s="28" t="str">
        <x:f>IF(COUNTA(A71:J71)=0,"",IF(OR(A71="",B71="",C71="",D71="",E71="",F71="",I71=""),"不通过：缺少必填项",IF(COUNTIFS($B$5:$B$104,B71,$D$5:$D$104,D71)&gt;1,"不通过：组合明细重复",IF(COUNTIF('检验项目'!$B$5:$B$104,D71)=0,"不通过：项目编码不存在","通过"))))</x:f>
      </x:c>
    </x:row>
    <x:row r="72">
      <x:c r="A72" s="22"/>
      <x:c r="B72" s="22"/>
      <x:c r="C72" s="22"/>
      <x:c r="D72" s="22"/>
      <x:c r="E72" s="34"/>
      <x:c r="F72" s="22"/>
      <x:c r="G72" s="31"/>
      <x:c r="H72" s="31"/>
      <x:c r="I72" s="22"/>
      <x:c r="J72" s="22"/>
      <x:c r="K72" s="28" t="str">
        <x:f>IF(COUNTA(A72:J72)=0,"",IF(OR(A72="",B72="",C72="",D72="",E72="",F72="",I72=""),"不通过：缺少必填项",IF(COUNTIFS($B$5:$B$104,B72,$D$5:$D$104,D72)&gt;1,"不通过：组合明细重复",IF(COUNTIF('检验项目'!$B$5:$B$104,D72)=0,"不通过：项目编码不存在","通过"))))</x:f>
      </x:c>
    </x:row>
    <x:row r="73">
      <x:c r="A73" s="22"/>
      <x:c r="B73" s="22"/>
      <x:c r="C73" s="22"/>
      <x:c r="D73" s="22"/>
      <x:c r="E73" s="34"/>
      <x:c r="F73" s="22"/>
      <x:c r="G73" s="31"/>
      <x:c r="H73" s="31"/>
      <x:c r="I73" s="22"/>
      <x:c r="J73" s="22"/>
      <x:c r="K73" s="28" t="str">
        <x:f>IF(COUNTA(A73:J73)=0,"",IF(OR(A73="",B73="",C73="",D73="",E73="",F73="",I73=""),"不通过：缺少必填项",IF(COUNTIFS($B$5:$B$104,B73,$D$5:$D$104,D73)&gt;1,"不通过：组合明细重复",IF(COUNTIF('检验项目'!$B$5:$B$104,D73)=0,"不通过：项目编码不存在","通过"))))</x:f>
      </x:c>
    </x:row>
    <x:row r="74">
      <x:c r="A74" s="22"/>
      <x:c r="B74" s="22"/>
      <x:c r="C74" s="22"/>
      <x:c r="D74" s="22"/>
      <x:c r="E74" s="34"/>
      <x:c r="F74" s="22"/>
      <x:c r="G74" s="31"/>
      <x:c r="H74" s="31"/>
      <x:c r="I74" s="22"/>
      <x:c r="J74" s="22"/>
      <x:c r="K74" s="28" t="str">
        <x:f>IF(COUNTA(A74:J74)=0,"",IF(OR(A74="",B74="",C74="",D74="",E74="",F74="",I74=""),"不通过：缺少必填项",IF(COUNTIFS($B$5:$B$104,B74,$D$5:$D$104,D74)&gt;1,"不通过：组合明细重复",IF(COUNTIF('检验项目'!$B$5:$B$104,D74)=0,"不通过：项目编码不存在","通过"))))</x:f>
      </x:c>
    </x:row>
    <x:row r="75">
      <x:c r="A75" s="22"/>
      <x:c r="B75" s="22"/>
      <x:c r="C75" s="22"/>
      <x:c r="D75" s="22"/>
      <x:c r="E75" s="34"/>
      <x:c r="F75" s="22"/>
      <x:c r="G75" s="31"/>
      <x:c r="H75" s="31"/>
      <x:c r="I75" s="22"/>
      <x:c r="J75" s="22"/>
      <x:c r="K75" s="28" t="str">
        <x:f>IF(COUNTA(A75:J75)=0,"",IF(OR(A75="",B75="",C75="",D75="",E75="",F75="",I75=""),"不通过：缺少必填项",IF(COUNTIFS($B$5:$B$104,B75,$D$5:$D$104,D75)&gt;1,"不通过：组合明细重复",IF(COUNTIF('检验项目'!$B$5:$B$104,D75)=0,"不通过：项目编码不存在","通过"))))</x:f>
      </x:c>
    </x:row>
    <x:row r="76">
      <x:c r="A76" s="22"/>
      <x:c r="B76" s="22"/>
      <x:c r="C76" s="22"/>
      <x:c r="D76" s="22"/>
      <x:c r="E76" s="34"/>
      <x:c r="F76" s="22"/>
      <x:c r="G76" s="31"/>
      <x:c r="H76" s="31"/>
      <x:c r="I76" s="22"/>
      <x:c r="J76" s="22"/>
      <x:c r="K76" s="28" t="str">
        <x:f>IF(COUNTA(A76:J76)=0,"",IF(OR(A76="",B76="",C76="",D76="",E76="",F76="",I76=""),"不通过：缺少必填项",IF(COUNTIFS($B$5:$B$104,B76,$D$5:$D$104,D76)&gt;1,"不通过：组合明细重复",IF(COUNTIF('检验项目'!$B$5:$B$104,D76)=0,"不通过：项目编码不存在","通过"))))</x:f>
      </x:c>
    </x:row>
    <x:row r="77">
      <x:c r="A77" s="22"/>
      <x:c r="B77" s="22"/>
      <x:c r="C77" s="22"/>
      <x:c r="D77" s="22"/>
      <x:c r="E77" s="34"/>
      <x:c r="F77" s="22"/>
      <x:c r="G77" s="31"/>
      <x:c r="H77" s="31"/>
      <x:c r="I77" s="22"/>
      <x:c r="J77" s="22"/>
      <x:c r="K77" s="28" t="str">
        <x:f>IF(COUNTA(A77:J77)=0,"",IF(OR(A77="",B77="",C77="",D77="",E77="",F77="",I77=""),"不通过：缺少必填项",IF(COUNTIFS($B$5:$B$104,B77,$D$5:$D$104,D77)&gt;1,"不通过：组合明细重复",IF(COUNTIF('检验项目'!$B$5:$B$104,D77)=0,"不通过：项目编码不存在","通过"))))</x:f>
      </x:c>
    </x:row>
    <x:row r="78">
      <x:c r="A78" s="22"/>
      <x:c r="B78" s="22"/>
      <x:c r="C78" s="22"/>
      <x:c r="D78" s="22"/>
      <x:c r="E78" s="34"/>
      <x:c r="F78" s="22"/>
      <x:c r="G78" s="31"/>
      <x:c r="H78" s="31"/>
      <x:c r="I78" s="22"/>
      <x:c r="J78" s="22"/>
      <x:c r="K78" s="28" t="str">
        <x:f>IF(COUNTA(A78:J78)=0,"",IF(OR(A78="",B78="",C78="",D78="",E78="",F78="",I78=""),"不通过：缺少必填项",IF(COUNTIFS($B$5:$B$104,B78,$D$5:$D$104,D78)&gt;1,"不通过：组合明细重复",IF(COUNTIF('检验项目'!$B$5:$B$104,D78)=0,"不通过：项目编码不存在","通过"))))</x:f>
      </x:c>
    </x:row>
    <x:row r="79">
      <x:c r="A79" s="22"/>
      <x:c r="B79" s="22"/>
      <x:c r="C79" s="22"/>
      <x:c r="D79" s="22"/>
      <x:c r="E79" s="34"/>
      <x:c r="F79" s="22"/>
      <x:c r="G79" s="31"/>
      <x:c r="H79" s="31"/>
      <x:c r="I79" s="22"/>
      <x:c r="J79" s="22"/>
      <x:c r="K79" s="28" t="str">
        <x:f>IF(COUNTA(A79:J79)=0,"",IF(OR(A79="",B79="",C79="",D79="",E79="",F79="",I79=""),"不通过：缺少必填项",IF(COUNTIFS($B$5:$B$104,B79,$D$5:$D$104,D79)&gt;1,"不通过：组合明细重复",IF(COUNTIF('检验项目'!$B$5:$B$104,D79)=0,"不通过：项目编码不存在","通过"))))</x:f>
      </x:c>
    </x:row>
    <x:row r="80">
      <x:c r="A80" s="22"/>
      <x:c r="B80" s="22"/>
      <x:c r="C80" s="22"/>
      <x:c r="D80" s="22"/>
      <x:c r="E80" s="34"/>
      <x:c r="F80" s="22"/>
      <x:c r="G80" s="31"/>
      <x:c r="H80" s="31"/>
      <x:c r="I80" s="22"/>
      <x:c r="J80" s="22"/>
      <x:c r="K80" s="28" t="str">
        <x:f>IF(COUNTA(A80:J80)=0,"",IF(OR(A80="",B80="",C80="",D80="",E80="",F80="",I80=""),"不通过：缺少必填项",IF(COUNTIFS($B$5:$B$104,B80,$D$5:$D$104,D80)&gt;1,"不通过：组合明细重复",IF(COUNTIF('检验项目'!$B$5:$B$104,D80)=0,"不通过：项目编码不存在","通过"))))</x:f>
      </x:c>
    </x:row>
    <x:row r="81">
      <x:c r="A81" s="22"/>
      <x:c r="B81" s="22"/>
      <x:c r="C81" s="22"/>
      <x:c r="D81" s="22"/>
      <x:c r="E81" s="34"/>
      <x:c r="F81" s="22"/>
      <x:c r="G81" s="31"/>
      <x:c r="H81" s="31"/>
      <x:c r="I81" s="22"/>
      <x:c r="J81" s="22"/>
      <x:c r="K81" s="28" t="str">
        <x:f>IF(COUNTA(A81:J81)=0,"",IF(OR(A81="",B81="",C81="",D81="",E81="",F81="",I81=""),"不通过：缺少必填项",IF(COUNTIFS($B$5:$B$104,B81,$D$5:$D$104,D81)&gt;1,"不通过：组合明细重复",IF(COUNTIF('检验项目'!$B$5:$B$104,D81)=0,"不通过：项目编码不存在","通过"))))</x:f>
      </x:c>
    </x:row>
    <x:row r="82">
      <x:c r="A82" s="22"/>
      <x:c r="B82" s="22"/>
      <x:c r="C82" s="22"/>
      <x:c r="D82" s="22"/>
      <x:c r="E82" s="34"/>
      <x:c r="F82" s="22"/>
      <x:c r="G82" s="31"/>
      <x:c r="H82" s="31"/>
      <x:c r="I82" s="22"/>
      <x:c r="J82" s="22"/>
      <x:c r="K82" s="28" t="str">
        <x:f>IF(COUNTA(A82:J82)=0,"",IF(OR(A82="",B82="",C82="",D82="",E82="",F82="",I82=""),"不通过：缺少必填项",IF(COUNTIFS($B$5:$B$104,B82,$D$5:$D$104,D82)&gt;1,"不通过：组合明细重复",IF(COUNTIF('检验项目'!$B$5:$B$104,D82)=0,"不通过：项目编码不存在","通过"))))</x:f>
      </x:c>
    </x:row>
    <x:row r="83">
      <x:c r="A83" s="22"/>
      <x:c r="B83" s="22"/>
      <x:c r="C83" s="22"/>
      <x:c r="D83" s="22"/>
      <x:c r="E83" s="34"/>
      <x:c r="F83" s="22"/>
      <x:c r="G83" s="31"/>
      <x:c r="H83" s="31"/>
      <x:c r="I83" s="22"/>
      <x:c r="J83" s="22"/>
      <x:c r="K83" s="28" t="str">
        <x:f>IF(COUNTA(A83:J83)=0,"",IF(OR(A83="",B83="",C83="",D83="",E83="",F83="",I83=""),"不通过：缺少必填项",IF(COUNTIFS($B$5:$B$104,B83,$D$5:$D$104,D83)&gt;1,"不通过：组合明细重复",IF(COUNTIF('检验项目'!$B$5:$B$104,D83)=0,"不通过：项目编码不存在","通过"))))</x:f>
      </x:c>
    </x:row>
    <x:row r="84">
      <x:c r="A84" s="22"/>
      <x:c r="B84" s="22"/>
      <x:c r="C84" s="22"/>
      <x:c r="D84" s="22"/>
      <x:c r="E84" s="34"/>
      <x:c r="F84" s="22"/>
      <x:c r="G84" s="31"/>
      <x:c r="H84" s="31"/>
      <x:c r="I84" s="22"/>
      <x:c r="J84" s="22"/>
      <x:c r="K84" s="28" t="str">
        <x:f>IF(COUNTA(A84:J84)=0,"",IF(OR(A84="",B84="",C84="",D84="",E84="",F84="",I84=""),"不通过：缺少必填项",IF(COUNTIFS($B$5:$B$104,B84,$D$5:$D$104,D84)&gt;1,"不通过：组合明细重复",IF(COUNTIF('检验项目'!$B$5:$B$104,D84)=0,"不通过：项目编码不存在","通过"))))</x:f>
      </x:c>
    </x:row>
    <x:row r="85">
      <x:c r="A85" s="22"/>
      <x:c r="B85" s="22"/>
      <x:c r="C85" s="22"/>
      <x:c r="D85" s="22"/>
      <x:c r="E85" s="34"/>
      <x:c r="F85" s="22"/>
      <x:c r="G85" s="31"/>
      <x:c r="H85" s="31"/>
      <x:c r="I85" s="22"/>
      <x:c r="J85" s="22"/>
      <x:c r="K85" s="28" t="str">
        <x:f>IF(COUNTA(A85:J85)=0,"",IF(OR(A85="",B85="",C85="",D85="",E85="",F85="",I85=""),"不通过：缺少必填项",IF(COUNTIFS($B$5:$B$104,B85,$D$5:$D$104,D85)&gt;1,"不通过：组合明细重复",IF(COUNTIF('检验项目'!$B$5:$B$104,D85)=0,"不通过：项目编码不存在","通过"))))</x:f>
      </x:c>
    </x:row>
    <x:row r="86">
      <x:c r="A86" s="22"/>
      <x:c r="B86" s="22"/>
      <x:c r="C86" s="22"/>
      <x:c r="D86" s="22"/>
      <x:c r="E86" s="34"/>
      <x:c r="F86" s="22"/>
      <x:c r="G86" s="31"/>
      <x:c r="H86" s="31"/>
      <x:c r="I86" s="22"/>
      <x:c r="J86" s="22"/>
      <x:c r="K86" s="28" t="str">
        <x:f>IF(COUNTA(A86:J86)=0,"",IF(OR(A86="",B86="",C86="",D86="",E86="",F86="",I86=""),"不通过：缺少必填项",IF(COUNTIFS($B$5:$B$104,B86,$D$5:$D$104,D86)&gt;1,"不通过：组合明细重复",IF(COUNTIF('检验项目'!$B$5:$B$104,D86)=0,"不通过：项目编码不存在","通过"))))</x:f>
      </x:c>
    </x:row>
    <x:row r="87">
      <x:c r="A87" s="22"/>
      <x:c r="B87" s="22"/>
      <x:c r="C87" s="22"/>
      <x:c r="D87" s="22"/>
      <x:c r="E87" s="34"/>
      <x:c r="F87" s="22"/>
      <x:c r="G87" s="31"/>
      <x:c r="H87" s="31"/>
      <x:c r="I87" s="22"/>
      <x:c r="J87" s="22"/>
      <x:c r="K87" s="28" t="str">
        <x:f>IF(COUNTA(A87:J87)=0,"",IF(OR(A87="",B87="",C87="",D87="",E87="",F87="",I87=""),"不通过：缺少必填项",IF(COUNTIFS($B$5:$B$104,B87,$D$5:$D$104,D87)&gt;1,"不通过：组合明细重复",IF(COUNTIF('检验项目'!$B$5:$B$104,D87)=0,"不通过：项目编码不存在","通过"))))</x:f>
      </x:c>
    </x:row>
    <x:row r="88">
      <x:c r="A88" s="22"/>
      <x:c r="B88" s="22"/>
      <x:c r="C88" s="22"/>
      <x:c r="D88" s="22"/>
      <x:c r="E88" s="34"/>
      <x:c r="F88" s="22"/>
      <x:c r="G88" s="31"/>
      <x:c r="H88" s="31"/>
      <x:c r="I88" s="22"/>
      <x:c r="J88" s="22"/>
      <x:c r="K88" s="28" t="str">
        <x:f>IF(COUNTA(A88:J88)=0,"",IF(OR(A88="",B88="",C88="",D88="",E88="",F88="",I88=""),"不通过：缺少必填项",IF(COUNTIFS($B$5:$B$104,B88,$D$5:$D$104,D88)&gt;1,"不通过：组合明细重复",IF(COUNTIF('检验项目'!$B$5:$B$104,D88)=0,"不通过：项目编码不存在","通过"))))</x:f>
      </x:c>
    </x:row>
    <x:row r="89">
      <x:c r="A89" s="22"/>
      <x:c r="B89" s="22"/>
      <x:c r="C89" s="22"/>
      <x:c r="D89" s="22"/>
      <x:c r="E89" s="34"/>
      <x:c r="F89" s="22"/>
      <x:c r="G89" s="31"/>
      <x:c r="H89" s="31"/>
      <x:c r="I89" s="22"/>
      <x:c r="J89" s="22"/>
      <x:c r="K89" s="28" t="str">
        <x:f>IF(COUNTA(A89:J89)=0,"",IF(OR(A89="",B89="",C89="",D89="",E89="",F89="",I89=""),"不通过：缺少必填项",IF(COUNTIFS($B$5:$B$104,B89,$D$5:$D$104,D89)&gt;1,"不通过：组合明细重复",IF(COUNTIF('检验项目'!$B$5:$B$104,D89)=0,"不通过：项目编码不存在","通过"))))</x:f>
      </x:c>
    </x:row>
    <x:row r="90">
      <x:c r="A90" s="22"/>
      <x:c r="B90" s="22"/>
      <x:c r="C90" s="22"/>
      <x:c r="D90" s="22"/>
      <x:c r="E90" s="34"/>
      <x:c r="F90" s="22"/>
      <x:c r="G90" s="31"/>
      <x:c r="H90" s="31"/>
      <x:c r="I90" s="22"/>
      <x:c r="J90" s="22"/>
      <x:c r="K90" s="28" t="str">
        <x:f>IF(COUNTA(A90:J90)=0,"",IF(OR(A90="",B90="",C90="",D90="",E90="",F90="",I90=""),"不通过：缺少必填项",IF(COUNTIFS($B$5:$B$104,B90,$D$5:$D$104,D90)&gt;1,"不通过：组合明细重复",IF(COUNTIF('检验项目'!$B$5:$B$104,D90)=0,"不通过：项目编码不存在","通过"))))</x:f>
      </x:c>
    </x:row>
    <x:row r="91">
      <x:c r="A91" s="22"/>
      <x:c r="B91" s="22"/>
      <x:c r="C91" s="22"/>
      <x:c r="D91" s="22"/>
      <x:c r="E91" s="34"/>
      <x:c r="F91" s="22"/>
      <x:c r="G91" s="31"/>
      <x:c r="H91" s="31"/>
      <x:c r="I91" s="22"/>
      <x:c r="J91" s="22"/>
      <x:c r="K91" s="28" t="str">
        <x:f>IF(COUNTA(A91:J91)=0,"",IF(OR(A91="",B91="",C91="",D91="",E91="",F91="",I91=""),"不通过：缺少必填项",IF(COUNTIFS($B$5:$B$104,B91,$D$5:$D$104,D91)&gt;1,"不通过：组合明细重复",IF(COUNTIF('检验项目'!$B$5:$B$104,D91)=0,"不通过：项目编码不存在","通过"))))</x:f>
      </x:c>
    </x:row>
    <x:row r="92">
      <x:c r="A92" s="22"/>
      <x:c r="B92" s="22"/>
      <x:c r="C92" s="22"/>
      <x:c r="D92" s="22"/>
      <x:c r="E92" s="34"/>
      <x:c r="F92" s="22"/>
      <x:c r="G92" s="31"/>
      <x:c r="H92" s="31"/>
      <x:c r="I92" s="22"/>
      <x:c r="J92" s="22"/>
      <x:c r="K92" s="28" t="str">
        <x:f>IF(COUNTA(A92:J92)=0,"",IF(OR(A92="",B92="",C92="",D92="",E92="",F92="",I92=""),"不通过：缺少必填项",IF(COUNTIFS($B$5:$B$104,B92,$D$5:$D$104,D92)&gt;1,"不通过：组合明细重复",IF(COUNTIF('检验项目'!$B$5:$B$104,D92)=0,"不通过：项目编码不存在","通过"))))</x:f>
      </x:c>
    </x:row>
    <x:row r="93">
      <x:c r="A93" s="22"/>
      <x:c r="B93" s="22"/>
      <x:c r="C93" s="22"/>
      <x:c r="D93" s="22"/>
      <x:c r="E93" s="34"/>
      <x:c r="F93" s="22"/>
      <x:c r="G93" s="31"/>
      <x:c r="H93" s="31"/>
      <x:c r="I93" s="22"/>
      <x:c r="J93" s="22"/>
      <x:c r="K93" s="28" t="str">
        <x:f>IF(COUNTA(A93:J93)=0,"",IF(OR(A93="",B93="",C93="",D93="",E93="",F93="",I93=""),"不通过：缺少必填项",IF(COUNTIFS($B$5:$B$104,B93,$D$5:$D$104,D93)&gt;1,"不通过：组合明细重复",IF(COUNTIF('检验项目'!$B$5:$B$104,D93)=0,"不通过：项目编码不存在","通过"))))</x:f>
      </x:c>
    </x:row>
    <x:row r="94">
      <x:c r="A94" s="22"/>
      <x:c r="B94" s="22"/>
      <x:c r="C94" s="22"/>
      <x:c r="D94" s="22"/>
      <x:c r="E94" s="34"/>
      <x:c r="F94" s="22"/>
      <x:c r="G94" s="31"/>
      <x:c r="H94" s="31"/>
      <x:c r="I94" s="22"/>
      <x:c r="J94" s="22"/>
      <x:c r="K94" s="28" t="str">
        <x:f>IF(COUNTA(A94:J94)=0,"",IF(OR(A94="",B94="",C94="",D94="",E94="",F94="",I94=""),"不通过：缺少必填项",IF(COUNTIFS($B$5:$B$104,B94,$D$5:$D$104,D94)&gt;1,"不通过：组合明细重复",IF(COUNTIF('检验项目'!$B$5:$B$104,D94)=0,"不通过：项目编码不存在","通过"))))</x:f>
      </x:c>
    </x:row>
    <x:row r="95">
      <x:c r="A95" s="22"/>
      <x:c r="B95" s="22"/>
      <x:c r="C95" s="22"/>
      <x:c r="D95" s="22"/>
      <x:c r="E95" s="34"/>
      <x:c r="F95" s="22"/>
      <x:c r="G95" s="31"/>
      <x:c r="H95" s="31"/>
      <x:c r="I95" s="22"/>
      <x:c r="J95" s="22"/>
      <x:c r="K95" s="28" t="str">
        <x:f>IF(COUNTA(A95:J95)=0,"",IF(OR(A95="",B95="",C95="",D95="",E95="",F95="",I95=""),"不通过：缺少必填项",IF(COUNTIFS($B$5:$B$104,B95,$D$5:$D$104,D95)&gt;1,"不通过：组合明细重复",IF(COUNTIF('检验项目'!$B$5:$B$104,D95)=0,"不通过：项目编码不存在","通过"))))</x:f>
      </x:c>
    </x:row>
    <x:row r="96">
      <x:c r="A96" s="22"/>
      <x:c r="B96" s="22"/>
      <x:c r="C96" s="22"/>
      <x:c r="D96" s="22"/>
      <x:c r="E96" s="34"/>
      <x:c r="F96" s="22"/>
      <x:c r="G96" s="31"/>
      <x:c r="H96" s="31"/>
      <x:c r="I96" s="22"/>
      <x:c r="J96" s="22"/>
      <x:c r="K96" s="28" t="str">
        <x:f>IF(COUNTA(A96:J96)=0,"",IF(OR(A96="",B96="",C96="",D96="",E96="",F96="",I96=""),"不通过：缺少必填项",IF(COUNTIFS($B$5:$B$104,B96,$D$5:$D$104,D96)&gt;1,"不通过：组合明细重复",IF(COUNTIF('检验项目'!$B$5:$B$104,D96)=0,"不通过：项目编码不存在","通过"))))</x:f>
      </x:c>
    </x:row>
    <x:row r="97">
      <x:c r="A97" s="22"/>
      <x:c r="B97" s="22"/>
      <x:c r="C97" s="22"/>
      <x:c r="D97" s="22"/>
      <x:c r="E97" s="34"/>
      <x:c r="F97" s="22"/>
      <x:c r="G97" s="31"/>
      <x:c r="H97" s="31"/>
      <x:c r="I97" s="22"/>
      <x:c r="J97" s="22"/>
      <x:c r="K97" s="28" t="str">
        <x:f>IF(COUNTA(A97:J97)=0,"",IF(OR(A97="",B97="",C97="",D97="",E97="",F97="",I97=""),"不通过：缺少必填项",IF(COUNTIFS($B$5:$B$104,B97,$D$5:$D$104,D97)&gt;1,"不通过：组合明细重复",IF(COUNTIF('检验项目'!$B$5:$B$104,D97)=0,"不通过：项目编码不存在","通过"))))</x:f>
      </x:c>
    </x:row>
    <x:row r="98">
      <x:c r="A98" s="22"/>
      <x:c r="B98" s="22"/>
      <x:c r="C98" s="22"/>
      <x:c r="D98" s="22"/>
      <x:c r="E98" s="34"/>
      <x:c r="F98" s="22"/>
      <x:c r="G98" s="31"/>
      <x:c r="H98" s="31"/>
      <x:c r="I98" s="22"/>
      <x:c r="J98" s="22"/>
      <x:c r="K98" s="28" t="str">
        <x:f>IF(COUNTA(A98:J98)=0,"",IF(OR(A98="",B98="",C98="",D98="",E98="",F98="",I98=""),"不通过：缺少必填项",IF(COUNTIFS($B$5:$B$104,B98,$D$5:$D$104,D98)&gt;1,"不通过：组合明细重复",IF(COUNTIF('检验项目'!$B$5:$B$104,D98)=0,"不通过：项目编码不存在","通过"))))</x:f>
      </x:c>
    </x:row>
    <x:row r="99">
      <x:c r="A99" s="22"/>
      <x:c r="B99" s="22"/>
      <x:c r="C99" s="22"/>
      <x:c r="D99" s="22"/>
      <x:c r="E99" s="34"/>
      <x:c r="F99" s="22"/>
      <x:c r="G99" s="31"/>
      <x:c r="H99" s="31"/>
      <x:c r="I99" s="22"/>
      <x:c r="J99" s="22"/>
      <x:c r="K99" s="28" t="str">
        <x:f>IF(COUNTA(A99:J99)=0,"",IF(OR(A99="",B99="",C99="",D99="",E99="",F99="",I99=""),"不通过：缺少必填项",IF(COUNTIFS($B$5:$B$104,B99,$D$5:$D$104,D99)&gt;1,"不通过：组合明细重复",IF(COUNTIF('检验项目'!$B$5:$B$104,D99)=0,"不通过：项目编码不存在","通过"))))</x:f>
      </x:c>
    </x:row>
    <x:row r="100">
      <x:c r="A100" s="22"/>
      <x:c r="B100" s="22"/>
      <x:c r="C100" s="22"/>
      <x:c r="D100" s="22"/>
      <x:c r="E100" s="34"/>
      <x:c r="F100" s="22"/>
      <x:c r="G100" s="31"/>
      <x:c r="H100" s="31"/>
      <x:c r="I100" s="22"/>
      <x:c r="J100" s="22"/>
      <x:c r="K100" s="28" t="str">
        <x:f>IF(COUNTA(A100:J100)=0,"",IF(OR(A100="",B100="",C100="",D100="",E100="",F100="",I100=""),"不通过：缺少必填项",IF(COUNTIFS($B$5:$B$104,B100,$D$5:$D$104,D100)&gt;1,"不通过：组合明细重复",IF(COUNTIF('检验项目'!$B$5:$B$104,D100)=0,"不通过：项目编码不存在","通过"))))</x:f>
      </x:c>
    </x:row>
    <x:row r="101">
      <x:c r="A101" s="22"/>
      <x:c r="B101" s="22"/>
      <x:c r="C101" s="22"/>
      <x:c r="D101" s="22"/>
      <x:c r="E101" s="34"/>
      <x:c r="F101" s="22"/>
      <x:c r="G101" s="31"/>
      <x:c r="H101" s="31"/>
      <x:c r="I101" s="22"/>
      <x:c r="J101" s="22"/>
      <x:c r="K101" s="28" t="str">
        <x:f>IF(COUNTA(A101:J101)=0,"",IF(OR(A101="",B101="",C101="",D101="",E101="",F101="",I101=""),"不通过：缺少必填项",IF(COUNTIFS($B$5:$B$104,B101,$D$5:$D$104,D101)&gt;1,"不通过：组合明细重复",IF(COUNTIF('检验项目'!$B$5:$B$104,D101)=0,"不通过：项目编码不存在","通过"))))</x:f>
      </x:c>
    </x:row>
    <x:row r="102">
      <x:c r="A102" s="22"/>
      <x:c r="B102" s="22"/>
      <x:c r="C102" s="22"/>
      <x:c r="D102" s="22"/>
      <x:c r="E102" s="34"/>
      <x:c r="F102" s="22"/>
      <x:c r="G102" s="31"/>
      <x:c r="H102" s="31"/>
      <x:c r="I102" s="22"/>
      <x:c r="J102" s="22"/>
      <x:c r="K102" s="28" t="str">
        <x:f>IF(COUNTA(A102:J102)=0,"",IF(OR(A102="",B102="",C102="",D102="",E102="",F102="",I102=""),"不通过：缺少必填项",IF(COUNTIFS($B$5:$B$104,B102,$D$5:$D$104,D102)&gt;1,"不通过：组合明细重复",IF(COUNTIF('检验项目'!$B$5:$B$104,D102)=0,"不通过：项目编码不存在","通过"))))</x:f>
      </x:c>
    </x:row>
    <x:row r="103">
      <x:c r="A103" s="22"/>
      <x:c r="B103" s="22"/>
      <x:c r="C103" s="22"/>
      <x:c r="D103" s="22"/>
      <x:c r="E103" s="34"/>
      <x:c r="F103" s="22"/>
      <x:c r="G103" s="31"/>
      <x:c r="H103" s="31"/>
      <x:c r="I103" s="22"/>
      <x:c r="J103" s="22"/>
      <x:c r="K103" s="28" t="str">
        <x:f>IF(COUNTA(A103:J103)=0,"",IF(OR(A103="",B103="",C103="",D103="",E103="",F103="",I103=""),"不通过：缺少必填项",IF(COUNTIFS($B$5:$B$104,B103,$D$5:$D$104,D103)&gt;1,"不通过：组合明细重复",IF(COUNTIF('检验项目'!$B$5:$B$104,D103)=0,"不通过：项目编码不存在","通过"))))</x:f>
      </x:c>
    </x:row>
    <x:row r="104">
      <x:c r="A104" s="23"/>
      <x:c r="B104" s="23"/>
      <x:c r="C104" s="23"/>
      <x:c r="D104" s="23"/>
      <x:c r="E104" s="35"/>
      <x:c r="F104" s="23"/>
      <x:c r="G104" s="32"/>
      <x:c r="H104" s="32"/>
      <x:c r="I104" s="23"/>
      <x:c r="J104" s="23"/>
      <x:c r="K104" s="29" t="str">
        <x:f>IF(COUNTA(A104:J104)=0,"",IF(OR(A104="",B104="",C104="",D104="",E104="",F104="",I104=""),"不通过：缺少必填项",IF(COUNTIFS($B$5:$B$104,B104,$D$5:$D$104,D104)&gt;1,"不通过：组合明细重复",IF(COUNTIF('检验项目'!$B$5:$B$104,D104)=0,"不通过：项目编码不存在","通过"))))</x:f>
      </x:c>
    </x:row>
  </x:sheetData>
  <x:mergeCells>
    <x:mergeCell ref="A1:K1"/>
    <x:mergeCell ref="A2:K2"/>
  </x:mergeCells>
  <x:conditionalFormatting sqref="K5:K104">
    <x:cfRule type="beginsWith" dxfId="16" priority="1" operator="beginsWith" text="不通过"/>
    <x:cfRule type="cellIs" dxfId="17" priority="2" operator="equal">
      <x:formula>"通过"</x:formula>
    </x:cfRule>
  </x:conditionalFormatting>
  <x:dataValidations count="2">
    <x:dataValidation type="list" sqref="A5:A104">
      <x:formula1>"新增,修改,停用"</x:formula1>
    </x:dataValidation>
    <x:dataValidation type="list" sqref="F5:F104">
      <x:formula1>"启用,停用"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4" hidden="0" customWidth="1"/>
    <x:col min="13" max="13" width="12" hidden="0" customWidth="1"/>
    <x:col min="14" max="14" width="10" hidden="0" customWidth="1"/>
    <x:col min="15" max="15" width="12" hidden="0" customWidth="1"/>
    <x:col min="16" max="16" width="10" hidden="0" customWidth="1"/>
    <x:col min="17" max="17" width="14" hidden="0" customWidth="1"/>
    <x:col min="18" max="18" width="12" hidden="0" customWidth="1"/>
    <x:col min="19" max="19" width="20" hidden="0" customWidth="1"/>
    <x:col min="20" max="20" width="16" hidden="0" customWidth="1"/>
    <x:col min="21" max="21" width="28" hidden="0" customWidth="1"/>
    <x:col min="22" max="22" width="34" hidden="0" customWidth="1"/>
  </x:cols>
  <x:sheetData>
    <x:row r="1" ht="32" customHeight="1">
      <x:c r="A1" s="3" t="str">
        <x:v>检验设备与通信参数台账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42" customHeight="1">
      <x:c r="A2" s="7" t="str">
        <x:v>由检验科、信息科和设备厂商共同提供并签字。设备编码与序列号必须唯一；通信参数只填技术配置，不在本文件保存账号口令或证书私钥。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2" customHeight="1">
      <x:c r="A4" s="12" t="str">
        <x:v>数据状态*</x:v>
      </x:c>
      <x:c r="B4" s="12" t="str">
        <x:v>设备编码*</x:v>
      </x:c>
      <x:c r="C4" s="12" t="str">
        <x:v>设备名称*</x:v>
      </x:c>
      <x:c r="D4" s="12" t="str">
        <x:v>厂商*</x:v>
      </x:c>
      <x:c r="E4" s="12" t="str">
        <x:v>型号*</x:v>
      </x:c>
      <x:c r="F4" s="12" t="str">
        <x:v>序列号*</x:v>
      </x:c>
      <x:c r="G4" s="12" t="str">
        <x:v>专业组编码*</x:v>
      </x:c>
      <x:c r="H4" s="12" t="str">
        <x:v>协议*</x:v>
      </x:c>
      <x:c r="I4" s="12" t="str">
        <x:v>连接方式*</x:v>
      </x:c>
      <x:c r="J4" s="12" t="str">
        <x:v>IP地址</x:v>
      </x:c>
      <x:c r="K4" s="12" t="str">
        <x:v>端口</x:v>
      </x:c>
      <x:c r="L4" s="12" t="str">
        <x:v>串口</x:v>
      </x:c>
      <x:c r="M4" s="12" t="str">
        <x:v>波特率</x:v>
      </x:c>
      <x:c r="N4" s="12" t="str">
        <x:v>数据位</x:v>
      </x:c>
      <x:c r="O4" s="12" t="str">
        <x:v>校验位</x:v>
      </x:c>
      <x:c r="P4" s="12" t="str">
        <x:v>停止位</x:v>
      </x:c>
      <x:c r="Q4" s="12" t="str">
        <x:v>双向通信*</x:v>
      </x:c>
      <x:c r="R4" s="12" t="str">
        <x:v>启用状态*</x:v>
      </x:c>
      <x:c r="S4" s="12" t="str">
        <x:v>厂商联系人</x:v>
      </x:c>
      <x:c r="T4" s="12" t="str">
        <x:v>验收状态*</x:v>
      </x:c>
      <x:c r="U4" s="12" t="str">
        <x:v>备注</x:v>
      </x:c>
      <x:c r="V4" s="12" t="str">
        <x:v>校验结果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33"/>
      <x:c r="L5" s="21"/>
      <x:c r="M5" s="33"/>
      <x:c r="N5" s="33"/>
      <x:c r="O5" s="21"/>
      <x:c r="P5" s="33"/>
      <x:c r="Q5" s="21"/>
      <x:c r="R5" s="21"/>
      <x:c r="S5" s="21"/>
      <x:c r="T5" s="21"/>
      <x:c r="U5" s="21"/>
      <x:c r="V5" s="27" t="str">
        <x:f>IF(COUNTA(A5:U5)=0,"",IF(OR(A5="",B5="",C5="",D5="",E5="",F5="",G5="",H5="",I5="",Q5="",R5="",T5=""),"不通过：缺少必填项",IF(COUNTIF($B$5:$B$104,B5)&gt;1,"不通过：设备编码重复",IF(COUNTIF($F$5:$F$104,F5)&gt;1,"不通过：序列号重复",IF(AND(I5&lt;&gt;"串口",OR(J5="",K5="")),"不通过：网络连接缺IP或端口",IF(AND(I5="串口",OR(L5="",M5="",N5="",O5="",P5="")),"不通过：串口参数不完整","通过"))))))</x:f>
      </x:c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34"/>
      <x:c r="L6" s="22"/>
      <x:c r="M6" s="34"/>
      <x:c r="N6" s="34"/>
      <x:c r="O6" s="22"/>
      <x:c r="P6" s="34"/>
      <x:c r="Q6" s="22"/>
      <x:c r="R6" s="22"/>
      <x:c r="S6" s="22"/>
      <x:c r="T6" s="22"/>
      <x:c r="U6" s="22"/>
      <x:c r="V6" s="28" t="str">
        <x:f>IF(COUNTA(A6:U6)=0,"",IF(OR(A6="",B6="",C6="",D6="",E6="",F6="",G6="",H6="",I6="",Q6="",R6="",T6=""),"不通过：缺少必填项",IF(COUNTIF($B$5:$B$104,B6)&gt;1,"不通过：设备编码重复",IF(COUNTIF($F$5:$F$104,F6)&gt;1,"不通过：序列号重复",IF(AND(I6&lt;&gt;"串口",OR(J6="",K6="")),"不通过：网络连接缺IP或端口",IF(AND(I6="串口",OR(L6="",M6="",N6="",O6="",P6="")),"不通过：串口参数不完整","通过"))))))</x:f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34"/>
      <x:c r="L7" s="22"/>
      <x:c r="M7" s="34"/>
      <x:c r="N7" s="34"/>
      <x:c r="O7" s="22"/>
      <x:c r="P7" s="34"/>
      <x:c r="Q7" s="22"/>
      <x:c r="R7" s="22"/>
      <x:c r="S7" s="22"/>
      <x:c r="T7" s="22"/>
      <x:c r="U7" s="22"/>
      <x:c r="V7" s="28" t="str">
        <x:f>IF(COUNTA(A7:U7)=0,"",IF(OR(A7="",B7="",C7="",D7="",E7="",F7="",G7="",H7="",I7="",Q7="",R7="",T7=""),"不通过：缺少必填项",IF(COUNTIF($B$5:$B$104,B7)&gt;1,"不通过：设备编码重复",IF(COUNTIF($F$5:$F$104,F7)&gt;1,"不通过：序列号重复",IF(AND(I7&lt;&gt;"串口",OR(J7="",K7="")),"不通过：网络连接缺IP或端口",IF(AND(I7="串口",OR(L7="",M7="",N7="",O7="",P7="")),"不通过：串口参数不完整","通过"))))))</x:f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34"/>
      <x:c r="L8" s="22"/>
      <x:c r="M8" s="34"/>
      <x:c r="N8" s="34"/>
      <x:c r="O8" s="22"/>
      <x:c r="P8" s="34"/>
      <x:c r="Q8" s="22"/>
      <x:c r="R8" s="22"/>
      <x:c r="S8" s="22"/>
      <x:c r="T8" s="22"/>
      <x:c r="U8" s="22"/>
      <x:c r="V8" s="28" t="str">
        <x:f>IF(COUNTA(A8:U8)=0,"",IF(OR(A8="",B8="",C8="",D8="",E8="",F8="",G8="",H8="",I8="",Q8="",R8="",T8=""),"不通过：缺少必填项",IF(COUNTIF($B$5:$B$104,B8)&gt;1,"不通过：设备编码重复",IF(COUNTIF($F$5:$F$104,F8)&gt;1,"不通过：序列号重复",IF(AND(I8&lt;&gt;"串口",OR(J8="",K8="")),"不通过：网络连接缺IP或端口",IF(AND(I8="串口",OR(L8="",M8="",N8="",O8="",P8="")),"不通过：串口参数不完整","通过"))))))</x:f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34"/>
      <x:c r="L9" s="22"/>
      <x:c r="M9" s="34"/>
      <x:c r="N9" s="34"/>
      <x:c r="O9" s="22"/>
      <x:c r="P9" s="34"/>
      <x:c r="Q9" s="22"/>
      <x:c r="R9" s="22"/>
      <x:c r="S9" s="22"/>
      <x:c r="T9" s="22"/>
      <x:c r="U9" s="22"/>
      <x:c r="V9" s="28" t="str">
        <x:f>IF(COUNTA(A9:U9)=0,"",IF(OR(A9="",B9="",C9="",D9="",E9="",F9="",G9="",H9="",I9="",Q9="",R9="",T9=""),"不通过：缺少必填项",IF(COUNTIF($B$5:$B$104,B9)&gt;1,"不通过：设备编码重复",IF(COUNTIF($F$5:$F$104,F9)&gt;1,"不通过：序列号重复",IF(AND(I9&lt;&gt;"串口",OR(J9="",K9="")),"不通过：网络连接缺IP或端口",IF(AND(I9="串口",OR(L9="",M9="",N9="",O9="",P9="")),"不通过：串口参数不完整","通过"))))))</x:f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34"/>
      <x:c r="L10" s="22"/>
      <x:c r="M10" s="34"/>
      <x:c r="N10" s="34"/>
      <x:c r="O10" s="22"/>
      <x:c r="P10" s="34"/>
      <x:c r="Q10" s="22"/>
      <x:c r="R10" s="22"/>
      <x:c r="S10" s="22"/>
      <x:c r="T10" s="22"/>
      <x:c r="U10" s="22"/>
      <x:c r="V10" s="28" t="str">
        <x:f>IF(COUNTA(A10:U10)=0,"",IF(OR(A10="",B10="",C10="",D10="",E10="",F10="",G10="",H10="",I10="",Q10="",R10="",T10=""),"不通过：缺少必填项",IF(COUNTIF($B$5:$B$104,B10)&gt;1,"不通过：设备编码重复",IF(COUNTIF($F$5:$F$104,F10)&gt;1,"不通过：序列号重复",IF(AND(I10&lt;&gt;"串口",OR(J10="",K10="")),"不通过：网络连接缺IP或端口",IF(AND(I10="串口",OR(L10="",M10="",N10="",O10="",P10="")),"不通过：串口参数不完整","通过"))))))</x:f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34"/>
      <x:c r="L11" s="22"/>
      <x:c r="M11" s="34"/>
      <x:c r="N11" s="34"/>
      <x:c r="O11" s="22"/>
      <x:c r="P11" s="34"/>
      <x:c r="Q11" s="22"/>
      <x:c r="R11" s="22"/>
      <x:c r="S11" s="22"/>
      <x:c r="T11" s="22"/>
      <x:c r="U11" s="22"/>
      <x:c r="V11" s="28" t="str">
        <x:f>IF(COUNTA(A11:U11)=0,"",IF(OR(A11="",B11="",C11="",D11="",E11="",F11="",G11="",H11="",I11="",Q11="",R11="",T11=""),"不通过：缺少必填项",IF(COUNTIF($B$5:$B$104,B11)&gt;1,"不通过：设备编码重复",IF(COUNTIF($F$5:$F$104,F11)&gt;1,"不通过：序列号重复",IF(AND(I11&lt;&gt;"串口",OR(J11="",K11="")),"不通过：网络连接缺IP或端口",IF(AND(I11="串口",OR(L11="",M11="",N11="",O11="",P11="")),"不通过：串口参数不完整","通过"))))))</x:f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34"/>
      <x:c r="L12" s="22"/>
      <x:c r="M12" s="34"/>
      <x:c r="N12" s="34"/>
      <x:c r="O12" s="22"/>
      <x:c r="P12" s="34"/>
      <x:c r="Q12" s="22"/>
      <x:c r="R12" s="22"/>
      <x:c r="S12" s="22"/>
      <x:c r="T12" s="22"/>
      <x:c r="U12" s="22"/>
      <x:c r="V12" s="28" t="str">
        <x:f>IF(COUNTA(A12:U12)=0,"",IF(OR(A12="",B12="",C12="",D12="",E12="",F12="",G12="",H12="",I12="",Q12="",R12="",T12=""),"不通过：缺少必填项",IF(COUNTIF($B$5:$B$104,B12)&gt;1,"不通过：设备编码重复",IF(COUNTIF($F$5:$F$104,F12)&gt;1,"不通过：序列号重复",IF(AND(I12&lt;&gt;"串口",OR(J12="",K12="")),"不通过：网络连接缺IP或端口",IF(AND(I12="串口",OR(L12="",M12="",N12="",O12="",P12="")),"不通过：串口参数不完整","通过"))))))</x:f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34"/>
      <x:c r="L13" s="22"/>
      <x:c r="M13" s="34"/>
      <x:c r="N13" s="34"/>
      <x:c r="O13" s="22"/>
      <x:c r="P13" s="34"/>
      <x:c r="Q13" s="22"/>
      <x:c r="R13" s="22"/>
      <x:c r="S13" s="22"/>
      <x:c r="T13" s="22"/>
      <x:c r="U13" s="22"/>
      <x:c r="V13" s="28" t="str">
        <x:f>IF(COUNTA(A13:U13)=0,"",IF(OR(A13="",B13="",C13="",D13="",E13="",F13="",G13="",H13="",I13="",Q13="",R13="",T13=""),"不通过：缺少必填项",IF(COUNTIF($B$5:$B$104,B13)&gt;1,"不通过：设备编码重复",IF(COUNTIF($F$5:$F$104,F13)&gt;1,"不通过：序列号重复",IF(AND(I13&lt;&gt;"串口",OR(J13="",K13="")),"不通过：网络连接缺IP或端口",IF(AND(I13="串口",OR(L13="",M13="",N13="",O13="",P13="")),"不通过：串口参数不完整","通过"))))))</x:f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34"/>
      <x:c r="L14" s="22"/>
      <x:c r="M14" s="34"/>
      <x:c r="N14" s="34"/>
      <x:c r="O14" s="22"/>
      <x:c r="P14" s="34"/>
      <x:c r="Q14" s="22"/>
      <x:c r="R14" s="22"/>
      <x:c r="S14" s="22"/>
      <x:c r="T14" s="22"/>
      <x:c r="U14" s="22"/>
      <x:c r="V14" s="28" t="str">
        <x:f>IF(COUNTA(A14:U14)=0,"",IF(OR(A14="",B14="",C14="",D14="",E14="",F14="",G14="",H14="",I14="",Q14="",R14="",T14=""),"不通过：缺少必填项",IF(COUNTIF($B$5:$B$104,B14)&gt;1,"不通过：设备编码重复",IF(COUNTIF($F$5:$F$104,F14)&gt;1,"不通过：序列号重复",IF(AND(I14&lt;&gt;"串口",OR(J14="",K14="")),"不通过：网络连接缺IP或端口",IF(AND(I14="串口",OR(L14="",M14="",N14="",O14="",P14="")),"不通过：串口参数不完整","通过"))))))</x:f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34"/>
      <x:c r="L15" s="22"/>
      <x:c r="M15" s="34"/>
      <x:c r="N15" s="34"/>
      <x:c r="O15" s="22"/>
      <x:c r="P15" s="34"/>
      <x:c r="Q15" s="22"/>
      <x:c r="R15" s="22"/>
      <x:c r="S15" s="22"/>
      <x:c r="T15" s="22"/>
      <x:c r="U15" s="22"/>
      <x:c r="V15" s="28" t="str">
        <x:f>IF(COUNTA(A15:U15)=0,"",IF(OR(A15="",B15="",C15="",D15="",E15="",F15="",G15="",H15="",I15="",Q15="",R15="",T15=""),"不通过：缺少必填项",IF(COUNTIF($B$5:$B$104,B15)&gt;1,"不通过：设备编码重复",IF(COUNTIF($F$5:$F$104,F15)&gt;1,"不通过：序列号重复",IF(AND(I15&lt;&gt;"串口",OR(J15="",K15="")),"不通过：网络连接缺IP或端口",IF(AND(I15="串口",OR(L15="",M15="",N15="",O15="",P15="")),"不通过：串口参数不完整","通过"))))))</x:f>
      </x:c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34"/>
      <x:c r="L16" s="22"/>
      <x:c r="M16" s="34"/>
      <x:c r="N16" s="34"/>
      <x:c r="O16" s="22"/>
      <x:c r="P16" s="34"/>
      <x:c r="Q16" s="22"/>
      <x:c r="R16" s="22"/>
      <x:c r="S16" s="22"/>
      <x:c r="T16" s="22"/>
      <x:c r="U16" s="22"/>
      <x:c r="V16" s="28" t="str">
        <x:f>IF(COUNTA(A16:U16)=0,"",IF(OR(A16="",B16="",C16="",D16="",E16="",F16="",G16="",H16="",I16="",Q16="",R16="",T16=""),"不通过：缺少必填项",IF(COUNTIF($B$5:$B$104,B16)&gt;1,"不通过：设备编码重复",IF(COUNTIF($F$5:$F$104,F16)&gt;1,"不通过：序列号重复",IF(AND(I16&lt;&gt;"串口",OR(J16="",K16="")),"不通过：网络连接缺IP或端口",IF(AND(I16="串口",OR(L16="",M16="",N16="",O16="",P16="")),"不通过：串口参数不完整","通过"))))))</x:f>
      </x:c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34"/>
      <x:c r="L17" s="22"/>
      <x:c r="M17" s="34"/>
      <x:c r="N17" s="34"/>
      <x:c r="O17" s="22"/>
      <x:c r="P17" s="34"/>
      <x:c r="Q17" s="22"/>
      <x:c r="R17" s="22"/>
      <x:c r="S17" s="22"/>
      <x:c r="T17" s="22"/>
      <x:c r="U17" s="22"/>
      <x:c r="V17" s="28" t="str">
        <x:f>IF(COUNTA(A17:U17)=0,"",IF(OR(A17="",B17="",C17="",D17="",E17="",F17="",G17="",H17="",I17="",Q17="",R17="",T17=""),"不通过：缺少必填项",IF(COUNTIF($B$5:$B$104,B17)&gt;1,"不通过：设备编码重复",IF(COUNTIF($F$5:$F$104,F17)&gt;1,"不通过：序列号重复",IF(AND(I17&lt;&gt;"串口",OR(J17="",K17="")),"不通过：网络连接缺IP或端口",IF(AND(I17="串口",OR(L17="",M17="",N17="",O17="",P17="")),"不通过：串口参数不完整","通过"))))))</x:f>
      </x:c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34"/>
      <x:c r="L18" s="22"/>
      <x:c r="M18" s="34"/>
      <x:c r="N18" s="34"/>
      <x:c r="O18" s="22"/>
      <x:c r="P18" s="34"/>
      <x:c r="Q18" s="22"/>
      <x:c r="R18" s="22"/>
      <x:c r="S18" s="22"/>
      <x:c r="T18" s="22"/>
      <x:c r="U18" s="22"/>
      <x:c r="V18" s="28" t="str">
        <x:f>IF(COUNTA(A18:U18)=0,"",IF(OR(A18="",B18="",C18="",D18="",E18="",F18="",G18="",H18="",I18="",Q18="",R18="",T18=""),"不通过：缺少必填项",IF(COUNTIF($B$5:$B$104,B18)&gt;1,"不通过：设备编码重复",IF(COUNTIF($F$5:$F$104,F18)&gt;1,"不通过：序列号重复",IF(AND(I18&lt;&gt;"串口",OR(J18="",K18="")),"不通过：网络连接缺IP或端口",IF(AND(I18="串口",OR(L18="",M18="",N18="",O18="",P18="")),"不通过：串口参数不完整","通过"))))))</x:f>
      </x:c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34"/>
      <x:c r="L19" s="22"/>
      <x:c r="M19" s="34"/>
      <x:c r="N19" s="34"/>
      <x:c r="O19" s="22"/>
      <x:c r="P19" s="34"/>
      <x:c r="Q19" s="22"/>
      <x:c r="R19" s="22"/>
      <x:c r="S19" s="22"/>
      <x:c r="T19" s="22"/>
      <x:c r="U19" s="22"/>
      <x:c r="V19" s="28" t="str">
        <x:f>IF(COUNTA(A19:U19)=0,"",IF(OR(A19="",B19="",C19="",D19="",E19="",F19="",G19="",H19="",I19="",Q19="",R19="",T19=""),"不通过：缺少必填项",IF(COUNTIF($B$5:$B$104,B19)&gt;1,"不通过：设备编码重复",IF(COUNTIF($F$5:$F$104,F19)&gt;1,"不通过：序列号重复",IF(AND(I19&lt;&gt;"串口",OR(J19="",K19="")),"不通过：网络连接缺IP或端口",IF(AND(I19="串口",OR(L19="",M19="",N19="",O19="",P19="")),"不通过：串口参数不完整","通过"))))))</x:f>
      </x:c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34"/>
      <x:c r="L20" s="22"/>
      <x:c r="M20" s="34"/>
      <x:c r="N20" s="34"/>
      <x:c r="O20" s="22"/>
      <x:c r="P20" s="34"/>
      <x:c r="Q20" s="22"/>
      <x:c r="R20" s="22"/>
      <x:c r="S20" s="22"/>
      <x:c r="T20" s="22"/>
      <x:c r="U20" s="22"/>
      <x:c r="V20" s="28" t="str">
        <x:f>IF(COUNTA(A20:U20)=0,"",IF(OR(A20="",B20="",C20="",D20="",E20="",F20="",G20="",H20="",I20="",Q20="",R20="",T20=""),"不通过：缺少必填项",IF(COUNTIF($B$5:$B$104,B20)&gt;1,"不通过：设备编码重复",IF(COUNTIF($F$5:$F$104,F20)&gt;1,"不通过：序列号重复",IF(AND(I20&lt;&gt;"串口",OR(J20="",K20="")),"不通过：网络连接缺IP或端口",IF(AND(I20="串口",OR(L20="",M20="",N20="",O20="",P20="")),"不通过：串口参数不完整","通过"))))))</x:f>
      </x:c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34"/>
      <x:c r="L21" s="22"/>
      <x:c r="M21" s="34"/>
      <x:c r="N21" s="34"/>
      <x:c r="O21" s="22"/>
      <x:c r="P21" s="34"/>
      <x:c r="Q21" s="22"/>
      <x:c r="R21" s="22"/>
      <x:c r="S21" s="22"/>
      <x:c r="T21" s="22"/>
      <x:c r="U21" s="22"/>
      <x:c r="V21" s="28" t="str">
        <x:f>IF(COUNTA(A21:U21)=0,"",IF(OR(A21="",B21="",C21="",D21="",E21="",F21="",G21="",H21="",I21="",Q21="",R21="",T21=""),"不通过：缺少必填项",IF(COUNTIF($B$5:$B$104,B21)&gt;1,"不通过：设备编码重复",IF(COUNTIF($F$5:$F$104,F21)&gt;1,"不通过：序列号重复",IF(AND(I21&lt;&gt;"串口",OR(J21="",K21="")),"不通过：网络连接缺IP或端口",IF(AND(I21="串口",OR(L21="",M21="",N21="",O21="",P21="")),"不通过：串口参数不完整","通过"))))))</x:f>
      </x:c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34"/>
      <x:c r="L22" s="22"/>
      <x:c r="M22" s="34"/>
      <x:c r="N22" s="34"/>
      <x:c r="O22" s="22"/>
      <x:c r="P22" s="34"/>
      <x:c r="Q22" s="22"/>
      <x:c r="R22" s="22"/>
      <x:c r="S22" s="22"/>
      <x:c r="T22" s="22"/>
      <x:c r="U22" s="22"/>
      <x:c r="V22" s="28" t="str">
        <x:f>IF(COUNTA(A22:U22)=0,"",IF(OR(A22="",B22="",C22="",D22="",E22="",F22="",G22="",H22="",I22="",Q22="",R22="",T22=""),"不通过：缺少必填项",IF(COUNTIF($B$5:$B$104,B22)&gt;1,"不通过：设备编码重复",IF(COUNTIF($F$5:$F$104,F22)&gt;1,"不通过：序列号重复",IF(AND(I22&lt;&gt;"串口",OR(J22="",K22="")),"不通过：网络连接缺IP或端口",IF(AND(I22="串口",OR(L22="",M22="",N22="",O22="",P22="")),"不通过：串口参数不完整","通过"))))))</x:f>
      </x:c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34"/>
      <x:c r="L23" s="22"/>
      <x:c r="M23" s="34"/>
      <x:c r="N23" s="34"/>
      <x:c r="O23" s="22"/>
      <x:c r="P23" s="34"/>
      <x:c r="Q23" s="22"/>
      <x:c r="R23" s="22"/>
      <x:c r="S23" s="22"/>
      <x:c r="T23" s="22"/>
      <x:c r="U23" s="22"/>
      <x:c r="V23" s="28" t="str">
        <x:f>IF(COUNTA(A23:U23)=0,"",IF(OR(A23="",B23="",C23="",D23="",E23="",F23="",G23="",H23="",I23="",Q23="",R23="",T23=""),"不通过：缺少必填项",IF(COUNTIF($B$5:$B$104,B23)&gt;1,"不通过：设备编码重复",IF(COUNTIF($F$5:$F$104,F23)&gt;1,"不通过：序列号重复",IF(AND(I23&lt;&gt;"串口",OR(J23="",K23="")),"不通过：网络连接缺IP或端口",IF(AND(I23="串口",OR(L23="",M23="",N23="",O23="",P23="")),"不通过：串口参数不完整","通过"))))))</x:f>
      </x:c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34"/>
      <x:c r="L24" s="22"/>
      <x:c r="M24" s="34"/>
      <x:c r="N24" s="34"/>
      <x:c r="O24" s="22"/>
      <x:c r="P24" s="34"/>
      <x:c r="Q24" s="22"/>
      <x:c r="R24" s="22"/>
      <x:c r="S24" s="22"/>
      <x:c r="T24" s="22"/>
      <x:c r="U24" s="22"/>
      <x:c r="V24" s="28" t="str">
        <x:f>IF(COUNTA(A24:U24)=0,"",IF(OR(A24="",B24="",C24="",D24="",E24="",F24="",G24="",H24="",I24="",Q24="",R24="",T24=""),"不通过：缺少必填项",IF(COUNTIF($B$5:$B$104,B24)&gt;1,"不通过：设备编码重复",IF(COUNTIF($F$5:$F$104,F24)&gt;1,"不通过：序列号重复",IF(AND(I24&lt;&gt;"串口",OR(J24="",K24="")),"不通过：网络连接缺IP或端口",IF(AND(I24="串口",OR(L24="",M24="",N24="",O24="",P24="")),"不通过：串口参数不完整","通过"))))))</x:f>
      </x:c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34"/>
      <x:c r="L25" s="22"/>
      <x:c r="M25" s="34"/>
      <x:c r="N25" s="34"/>
      <x:c r="O25" s="22"/>
      <x:c r="P25" s="34"/>
      <x:c r="Q25" s="22"/>
      <x:c r="R25" s="22"/>
      <x:c r="S25" s="22"/>
      <x:c r="T25" s="22"/>
      <x:c r="U25" s="22"/>
      <x:c r="V25" s="28" t="str">
        <x:f>IF(COUNTA(A25:U25)=0,"",IF(OR(A25="",B25="",C25="",D25="",E25="",F25="",G25="",H25="",I25="",Q25="",R25="",T25=""),"不通过：缺少必填项",IF(COUNTIF($B$5:$B$104,B25)&gt;1,"不通过：设备编码重复",IF(COUNTIF($F$5:$F$104,F25)&gt;1,"不通过：序列号重复",IF(AND(I25&lt;&gt;"串口",OR(J25="",K25="")),"不通过：网络连接缺IP或端口",IF(AND(I25="串口",OR(L25="",M25="",N25="",O25="",P25="")),"不通过：串口参数不完整","通过"))))))</x:f>
      </x:c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34"/>
      <x:c r="L26" s="22"/>
      <x:c r="M26" s="34"/>
      <x:c r="N26" s="34"/>
      <x:c r="O26" s="22"/>
      <x:c r="P26" s="34"/>
      <x:c r="Q26" s="22"/>
      <x:c r="R26" s="22"/>
      <x:c r="S26" s="22"/>
      <x:c r="T26" s="22"/>
      <x:c r="U26" s="22"/>
      <x:c r="V26" s="28" t="str">
        <x:f>IF(COUNTA(A26:U26)=0,"",IF(OR(A26="",B26="",C26="",D26="",E26="",F26="",G26="",H26="",I26="",Q26="",R26="",T26=""),"不通过：缺少必填项",IF(COUNTIF($B$5:$B$104,B26)&gt;1,"不通过：设备编码重复",IF(COUNTIF($F$5:$F$104,F26)&gt;1,"不通过：序列号重复",IF(AND(I26&lt;&gt;"串口",OR(J26="",K26="")),"不通过：网络连接缺IP或端口",IF(AND(I26="串口",OR(L26="",M26="",N26="",O26="",P26="")),"不通过：串口参数不完整","通过"))))))</x:f>
      </x:c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34"/>
      <x:c r="L27" s="22"/>
      <x:c r="M27" s="34"/>
      <x:c r="N27" s="34"/>
      <x:c r="O27" s="22"/>
      <x:c r="P27" s="34"/>
      <x:c r="Q27" s="22"/>
      <x:c r="R27" s="22"/>
      <x:c r="S27" s="22"/>
      <x:c r="T27" s="22"/>
      <x:c r="U27" s="22"/>
      <x:c r="V27" s="28" t="str">
        <x:f>IF(COUNTA(A27:U27)=0,"",IF(OR(A27="",B27="",C27="",D27="",E27="",F27="",G27="",H27="",I27="",Q27="",R27="",T27=""),"不通过：缺少必填项",IF(COUNTIF($B$5:$B$104,B27)&gt;1,"不通过：设备编码重复",IF(COUNTIF($F$5:$F$104,F27)&gt;1,"不通过：序列号重复",IF(AND(I27&lt;&gt;"串口",OR(J27="",K27="")),"不通过：网络连接缺IP或端口",IF(AND(I27="串口",OR(L27="",M27="",N27="",O27="",P27="")),"不通过：串口参数不完整","通过"))))))</x:f>
      </x:c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34"/>
      <x:c r="L28" s="22"/>
      <x:c r="M28" s="34"/>
      <x:c r="N28" s="34"/>
      <x:c r="O28" s="22"/>
      <x:c r="P28" s="34"/>
      <x:c r="Q28" s="22"/>
      <x:c r="R28" s="22"/>
      <x:c r="S28" s="22"/>
      <x:c r="T28" s="22"/>
      <x:c r="U28" s="22"/>
      <x:c r="V28" s="28" t="str">
        <x:f>IF(COUNTA(A28:U28)=0,"",IF(OR(A28="",B28="",C28="",D28="",E28="",F28="",G28="",H28="",I28="",Q28="",R28="",T28=""),"不通过：缺少必填项",IF(COUNTIF($B$5:$B$104,B28)&gt;1,"不通过：设备编码重复",IF(COUNTIF($F$5:$F$104,F28)&gt;1,"不通过：序列号重复",IF(AND(I28&lt;&gt;"串口",OR(J28="",K28="")),"不通过：网络连接缺IP或端口",IF(AND(I28="串口",OR(L28="",M28="",N28="",O28="",P28="")),"不通过：串口参数不完整","通过"))))))</x:f>
      </x:c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34"/>
      <x:c r="L29" s="22"/>
      <x:c r="M29" s="34"/>
      <x:c r="N29" s="34"/>
      <x:c r="O29" s="22"/>
      <x:c r="P29" s="34"/>
      <x:c r="Q29" s="22"/>
      <x:c r="R29" s="22"/>
      <x:c r="S29" s="22"/>
      <x:c r="T29" s="22"/>
      <x:c r="U29" s="22"/>
      <x:c r="V29" s="28" t="str">
        <x:f>IF(COUNTA(A29:U29)=0,"",IF(OR(A29="",B29="",C29="",D29="",E29="",F29="",G29="",H29="",I29="",Q29="",R29="",T29=""),"不通过：缺少必填项",IF(COUNTIF($B$5:$B$104,B29)&gt;1,"不通过：设备编码重复",IF(COUNTIF($F$5:$F$104,F29)&gt;1,"不通过：序列号重复",IF(AND(I29&lt;&gt;"串口",OR(J29="",K29="")),"不通过：网络连接缺IP或端口",IF(AND(I29="串口",OR(L29="",M29="",N29="",O29="",P29="")),"不通过：串口参数不完整","通过"))))))</x:f>
      </x:c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34"/>
      <x:c r="L30" s="22"/>
      <x:c r="M30" s="34"/>
      <x:c r="N30" s="34"/>
      <x:c r="O30" s="22"/>
      <x:c r="P30" s="34"/>
      <x:c r="Q30" s="22"/>
      <x:c r="R30" s="22"/>
      <x:c r="S30" s="22"/>
      <x:c r="T30" s="22"/>
      <x:c r="U30" s="22"/>
      <x:c r="V30" s="28" t="str">
        <x:f>IF(COUNTA(A30:U30)=0,"",IF(OR(A30="",B30="",C30="",D30="",E30="",F30="",G30="",H30="",I30="",Q30="",R30="",T30=""),"不通过：缺少必填项",IF(COUNTIF($B$5:$B$104,B30)&gt;1,"不通过：设备编码重复",IF(COUNTIF($F$5:$F$104,F30)&gt;1,"不通过：序列号重复",IF(AND(I30&lt;&gt;"串口",OR(J30="",K30="")),"不通过：网络连接缺IP或端口",IF(AND(I30="串口",OR(L30="",M30="",N30="",O30="",P30="")),"不通过：串口参数不完整","通过"))))))</x:f>
      </x:c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34"/>
      <x:c r="L31" s="22"/>
      <x:c r="M31" s="34"/>
      <x:c r="N31" s="34"/>
      <x:c r="O31" s="22"/>
      <x:c r="P31" s="34"/>
      <x:c r="Q31" s="22"/>
      <x:c r="R31" s="22"/>
      <x:c r="S31" s="22"/>
      <x:c r="T31" s="22"/>
      <x:c r="U31" s="22"/>
      <x:c r="V31" s="28" t="str">
        <x:f>IF(COUNTA(A31:U31)=0,"",IF(OR(A31="",B31="",C31="",D31="",E31="",F31="",G31="",H31="",I31="",Q31="",R31="",T31=""),"不通过：缺少必填项",IF(COUNTIF($B$5:$B$104,B31)&gt;1,"不通过：设备编码重复",IF(COUNTIF($F$5:$F$104,F31)&gt;1,"不通过：序列号重复",IF(AND(I31&lt;&gt;"串口",OR(J31="",K31="")),"不通过：网络连接缺IP或端口",IF(AND(I31="串口",OR(L31="",M31="",N31="",O31="",P31="")),"不通过：串口参数不完整","通过"))))))</x:f>
      </x:c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34"/>
      <x:c r="L32" s="22"/>
      <x:c r="M32" s="34"/>
      <x:c r="N32" s="34"/>
      <x:c r="O32" s="22"/>
      <x:c r="P32" s="34"/>
      <x:c r="Q32" s="22"/>
      <x:c r="R32" s="22"/>
      <x:c r="S32" s="22"/>
      <x:c r="T32" s="22"/>
      <x:c r="U32" s="22"/>
      <x:c r="V32" s="28" t="str">
        <x:f>IF(COUNTA(A32:U32)=0,"",IF(OR(A32="",B32="",C32="",D32="",E32="",F32="",G32="",H32="",I32="",Q32="",R32="",T32=""),"不通过：缺少必填项",IF(COUNTIF($B$5:$B$104,B32)&gt;1,"不通过：设备编码重复",IF(COUNTIF($F$5:$F$104,F32)&gt;1,"不通过：序列号重复",IF(AND(I32&lt;&gt;"串口",OR(J32="",K32="")),"不通过：网络连接缺IP或端口",IF(AND(I32="串口",OR(L32="",M32="",N32="",O32="",P32="")),"不通过：串口参数不完整","通过"))))))</x:f>
      </x:c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34"/>
      <x:c r="L33" s="22"/>
      <x:c r="M33" s="34"/>
      <x:c r="N33" s="34"/>
      <x:c r="O33" s="22"/>
      <x:c r="P33" s="34"/>
      <x:c r="Q33" s="22"/>
      <x:c r="R33" s="22"/>
      <x:c r="S33" s="22"/>
      <x:c r="T33" s="22"/>
      <x:c r="U33" s="22"/>
      <x:c r="V33" s="28" t="str">
        <x:f>IF(COUNTA(A33:U33)=0,"",IF(OR(A33="",B33="",C33="",D33="",E33="",F33="",G33="",H33="",I33="",Q33="",R33="",T33=""),"不通过：缺少必填项",IF(COUNTIF($B$5:$B$104,B33)&gt;1,"不通过：设备编码重复",IF(COUNTIF($F$5:$F$104,F33)&gt;1,"不通过：序列号重复",IF(AND(I33&lt;&gt;"串口",OR(J33="",K33="")),"不通过：网络连接缺IP或端口",IF(AND(I33="串口",OR(L33="",M33="",N33="",O33="",P33="")),"不通过：串口参数不完整","通过"))))))</x:f>
      </x:c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34"/>
      <x:c r="L34" s="22"/>
      <x:c r="M34" s="34"/>
      <x:c r="N34" s="34"/>
      <x:c r="O34" s="22"/>
      <x:c r="P34" s="34"/>
      <x:c r="Q34" s="22"/>
      <x:c r="R34" s="22"/>
      <x:c r="S34" s="22"/>
      <x:c r="T34" s="22"/>
      <x:c r="U34" s="22"/>
      <x:c r="V34" s="28" t="str">
        <x:f>IF(COUNTA(A34:U34)=0,"",IF(OR(A34="",B34="",C34="",D34="",E34="",F34="",G34="",H34="",I34="",Q34="",R34="",T34=""),"不通过：缺少必填项",IF(COUNTIF($B$5:$B$104,B34)&gt;1,"不通过：设备编码重复",IF(COUNTIF($F$5:$F$104,F34)&gt;1,"不通过：序列号重复",IF(AND(I34&lt;&gt;"串口",OR(J34="",K34="")),"不通过：网络连接缺IP或端口",IF(AND(I34="串口",OR(L34="",M34="",N34="",O34="",P34="")),"不通过：串口参数不完整","通过"))))))</x:f>
      </x:c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34"/>
      <x:c r="L35" s="22"/>
      <x:c r="M35" s="34"/>
      <x:c r="N35" s="34"/>
      <x:c r="O35" s="22"/>
      <x:c r="P35" s="34"/>
      <x:c r="Q35" s="22"/>
      <x:c r="R35" s="22"/>
      <x:c r="S35" s="22"/>
      <x:c r="T35" s="22"/>
      <x:c r="U35" s="22"/>
      <x:c r="V35" s="28" t="str">
        <x:f>IF(COUNTA(A35:U35)=0,"",IF(OR(A35="",B35="",C35="",D35="",E35="",F35="",G35="",H35="",I35="",Q35="",R35="",T35=""),"不通过：缺少必填项",IF(COUNTIF($B$5:$B$104,B35)&gt;1,"不通过：设备编码重复",IF(COUNTIF($F$5:$F$104,F35)&gt;1,"不通过：序列号重复",IF(AND(I35&lt;&gt;"串口",OR(J35="",K35="")),"不通过：网络连接缺IP或端口",IF(AND(I35="串口",OR(L35="",M35="",N35="",O35="",P35="")),"不通过：串口参数不完整","通过"))))))</x:f>
      </x:c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34"/>
      <x:c r="L36" s="22"/>
      <x:c r="M36" s="34"/>
      <x:c r="N36" s="34"/>
      <x:c r="O36" s="22"/>
      <x:c r="P36" s="34"/>
      <x:c r="Q36" s="22"/>
      <x:c r="R36" s="22"/>
      <x:c r="S36" s="22"/>
      <x:c r="T36" s="22"/>
      <x:c r="U36" s="22"/>
      <x:c r="V36" s="28" t="str">
        <x:f>IF(COUNTA(A36:U36)=0,"",IF(OR(A36="",B36="",C36="",D36="",E36="",F36="",G36="",H36="",I36="",Q36="",R36="",T36=""),"不通过：缺少必填项",IF(COUNTIF($B$5:$B$104,B36)&gt;1,"不通过：设备编码重复",IF(COUNTIF($F$5:$F$104,F36)&gt;1,"不通过：序列号重复",IF(AND(I36&lt;&gt;"串口",OR(J36="",K36="")),"不通过：网络连接缺IP或端口",IF(AND(I36="串口",OR(L36="",M36="",N36="",O36="",P36="")),"不通过：串口参数不完整","通过"))))))</x:f>
      </x:c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34"/>
      <x:c r="L37" s="22"/>
      <x:c r="M37" s="34"/>
      <x:c r="N37" s="34"/>
      <x:c r="O37" s="22"/>
      <x:c r="P37" s="34"/>
      <x:c r="Q37" s="22"/>
      <x:c r="R37" s="22"/>
      <x:c r="S37" s="22"/>
      <x:c r="T37" s="22"/>
      <x:c r="U37" s="22"/>
      <x:c r="V37" s="28" t="str">
        <x:f>IF(COUNTA(A37:U37)=0,"",IF(OR(A37="",B37="",C37="",D37="",E37="",F37="",G37="",H37="",I37="",Q37="",R37="",T37=""),"不通过：缺少必填项",IF(COUNTIF($B$5:$B$104,B37)&gt;1,"不通过：设备编码重复",IF(COUNTIF($F$5:$F$104,F37)&gt;1,"不通过：序列号重复",IF(AND(I37&lt;&gt;"串口",OR(J37="",K37="")),"不通过：网络连接缺IP或端口",IF(AND(I37="串口",OR(L37="",M37="",N37="",O37="",P37="")),"不通过：串口参数不完整","通过"))))))</x:f>
      </x:c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34"/>
      <x:c r="L38" s="22"/>
      <x:c r="M38" s="34"/>
      <x:c r="N38" s="34"/>
      <x:c r="O38" s="22"/>
      <x:c r="P38" s="34"/>
      <x:c r="Q38" s="22"/>
      <x:c r="R38" s="22"/>
      <x:c r="S38" s="22"/>
      <x:c r="T38" s="22"/>
      <x:c r="U38" s="22"/>
      <x:c r="V38" s="28" t="str">
        <x:f>IF(COUNTA(A38:U38)=0,"",IF(OR(A38="",B38="",C38="",D38="",E38="",F38="",G38="",H38="",I38="",Q38="",R38="",T38=""),"不通过：缺少必填项",IF(COUNTIF($B$5:$B$104,B38)&gt;1,"不通过：设备编码重复",IF(COUNTIF($F$5:$F$104,F38)&gt;1,"不通过：序列号重复",IF(AND(I38&lt;&gt;"串口",OR(J38="",K38="")),"不通过：网络连接缺IP或端口",IF(AND(I38="串口",OR(L38="",M38="",N38="",O38="",P38="")),"不通过：串口参数不完整","通过"))))))</x:f>
      </x:c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34"/>
      <x:c r="L39" s="22"/>
      <x:c r="M39" s="34"/>
      <x:c r="N39" s="34"/>
      <x:c r="O39" s="22"/>
      <x:c r="P39" s="34"/>
      <x:c r="Q39" s="22"/>
      <x:c r="R39" s="22"/>
      <x:c r="S39" s="22"/>
      <x:c r="T39" s="22"/>
      <x:c r="U39" s="22"/>
      <x:c r="V39" s="28" t="str">
        <x:f>IF(COUNTA(A39:U39)=0,"",IF(OR(A39="",B39="",C39="",D39="",E39="",F39="",G39="",H39="",I39="",Q39="",R39="",T39=""),"不通过：缺少必填项",IF(COUNTIF($B$5:$B$104,B39)&gt;1,"不通过：设备编码重复",IF(COUNTIF($F$5:$F$104,F39)&gt;1,"不通过：序列号重复",IF(AND(I39&lt;&gt;"串口",OR(J39="",K39="")),"不通过：网络连接缺IP或端口",IF(AND(I39="串口",OR(L39="",M39="",N39="",O39="",P39="")),"不通过：串口参数不完整","通过"))))))</x:f>
      </x:c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34"/>
      <x:c r="L40" s="22"/>
      <x:c r="M40" s="34"/>
      <x:c r="N40" s="34"/>
      <x:c r="O40" s="22"/>
      <x:c r="P40" s="34"/>
      <x:c r="Q40" s="22"/>
      <x:c r="R40" s="22"/>
      <x:c r="S40" s="22"/>
      <x:c r="T40" s="22"/>
      <x:c r="U40" s="22"/>
      <x:c r="V40" s="28" t="str">
        <x:f>IF(COUNTA(A40:U40)=0,"",IF(OR(A40="",B40="",C40="",D40="",E40="",F40="",G40="",H40="",I40="",Q40="",R40="",T40=""),"不通过：缺少必填项",IF(COUNTIF($B$5:$B$104,B40)&gt;1,"不通过：设备编码重复",IF(COUNTIF($F$5:$F$104,F40)&gt;1,"不通过：序列号重复",IF(AND(I40&lt;&gt;"串口",OR(J40="",K40="")),"不通过：网络连接缺IP或端口",IF(AND(I40="串口",OR(L40="",M40="",N40="",O40="",P40="")),"不通过：串口参数不完整","通过"))))))</x:f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34"/>
      <x:c r="L41" s="22"/>
      <x:c r="M41" s="34"/>
      <x:c r="N41" s="34"/>
      <x:c r="O41" s="22"/>
      <x:c r="P41" s="34"/>
      <x:c r="Q41" s="22"/>
      <x:c r="R41" s="22"/>
      <x:c r="S41" s="22"/>
      <x:c r="T41" s="22"/>
      <x:c r="U41" s="22"/>
      <x:c r="V41" s="28" t="str">
        <x:f>IF(COUNTA(A41:U41)=0,"",IF(OR(A41="",B41="",C41="",D41="",E41="",F41="",G41="",H41="",I41="",Q41="",R41="",T41=""),"不通过：缺少必填项",IF(COUNTIF($B$5:$B$104,B41)&gt;1,"不通过：设备编码重复",IF(COUNTIF($F$5:$F$104,F41)&gt;1,"不通过：序列号重复",IF(AND(I41&lt;&gt;"串口",OR(J41="",K41="")),"不通过：网络连接缺IP或端口",IF(AND(I41="串口",OR(L41="",M41="",N41="",O41="",P41="")),"不通过：串口参数不完整","通过"))))))</x:f>
      </x:c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34"/>
      <x:c r="L42" s="22"/>
      <x:c r="M42" s="34"/>
      <x:c r="N42" s="34"/>
      <x:c r="O42" s="22"/>
      <x:c r="P42" s="34"/>
      <x:c r="Q42" s="22"/>
      <x:c r="R42" s="22"/>
      <x:c r="S42" s="22"/>
      <x:c r="T42" s="22"/>
      <x:c r="U42" s="22"/>
      <x:c r="V42" s="28" t="str">
        <x:f>IF(COUNTA(A42:U42)=0,"",IF(OR(A42="",B42="",C42="",D42="",E42="",F42="",G42="",H42="",I42="",Q42="",R42="",T42=""),"不通过：缺少必填项",IF(COUNTIF($B$5:$B$104,B42)&gt;1,"不通过：设备编码重复",IF(COUNTIF($F$5:$F$104,F42)&gt;1,"不通过：序列号重复",IF(AND(I42&lt;&gt;"串口",OR(J42="",K42="")),"不通过：网络连接缺IP或端口",IF(AND(I42="串口",OR(L42="",M42="",N42="",O42="",P42="")),"不通过：串口参数不完整","通过"))))))</x:f>
      </x:c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34"/>
      <x:c r="L43" s="22"/>
      <x:c r="M43" s="34"/>
      <x:c r="N43" s="34"/>
      <x:c r="O43" s="22"/>
      <x:c r="P43" s="34"/>
      <x:c r="Q43" s="22"/>
      <x:c r="R43" s="22"/>
      <x:c r="S43" s="22"/>
      <x:c r="T43" s="22"/>
      <x:c r="U43" s="22"/>
      <x:c r="V43" s="28" t="str">
        <x:f>IF(COUNTA(A43:U43)=0,"",IF(OR(A43="",B43="",C43="",D43="",E43="",F43="",G43="",H43="",I43="",Q43="",R43="",T43=""),"不通过：缺少必填项",IF(COUNTIF($B$5:$B$104,B43)&gt;1,"不通过：设备编码重复",IF(COUNTIF($F$5:$F$104,F43)&gt;1,"不通过：序列号重复",IF(AND(I43&lt;&gt;"串口",OR(J43="",K43="")),"不通过：网络连接缺IP或端口",IF(AND(I43="串口",OR(L43="",M43="",N43="",O43="",P43="")),"不通过：串口参数不完整","通过"))))))</x:f>
      </x:c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34"/>
      <x:c r="L44" s="22"/>
      <x:c r="M44" s="34"/>
      <x:c r="N44" s="34"/>
      <x:c r="O44" s="22"/>
      <x:c r="P44" s="34"/>
      <x:c r="Q44" s="22"/>
      <x:c r="R44" s="22"/>
      <x:c r="S44" s="22"/>
      <x:c r="T44" s="22"/>
      <x:c r="U44" s="22"/>
      <x:c r="V44" s="28" t="str">
        <x:f>IF(COUNTA(A44:U44)=0,"",IF(OR(A44="",B44="",C44="",D44="",E44="",F44="",G44="",H44="",I44="",Q44="",R44="",T44=""),"不通过：缺少必填项",IF(COUNTIF($B$5:$B$104,B44)&gt;1,"不通过：设备编码重复",IF(COUNTIF($F$5:$F$104,F44)&gt;1,"不通过：序列号重复",IF(AND(I44&lt;&gt;"串口",OR(J44="",K44="")),"不通过：网络连接缺IP或端口",IF(AND(I44="串口",OR(L44="",M44="",N44="",O44="",P44="")),"不通过：串口参数不完整","通过"))))))</x:f>
      </x:c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34"/>
      <x:c r="L45" s="22"/>
      <x:c r="M45" s="34"/>
      <x:c r="N45" s="34"/>
      <x:c r="O45" s="22"/>
      <x:c r="P45" s="34"/>
      <x:c r="Q45" s="22"/>
      <x:c r="R45" s="22"/>
      <x:c r="S45" s="22"/>
      <x:c r="T45" s="22"/>
      <x:c r="U45" s="22"/>
      <x:c r="V45" s="28" t="str">
        <x:f>IF(COUNTA(A45:U45)=0,"",IF(OR(A45="",B45="",C45="",D45="",E45="",F45="",G45="",H45="",I45="",Q45="",R45="",T45=""),"不通过：缺少必填项",IF(COUNTIF($B$5:$B$104,B45)&gt;1,"不通过：设备编码重复",IF(COUNTIF($F$5:$F$104,F45)&gt;1,"不通过：序列号重复",IF(AND(I45&lt;&gt;"串口",OR(J45="",K45="")),"不通过：网络连接缺IP或端口",IF(AND(I45="串口",OR(L45="",M45="",N45="",O45="",P45="")),"不通过：串口参数不完整","通过"))))))</x:f>
      </x:c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34"/>
      <x:c r="L46" s="22"/>
      <x:c r="M46" s="34"/>
      <x:c r="N46" s="34"/>
      <x:c r="O46" s="22"/>
      <x:c r="P46" s="34"/>
      <x:c r="Q46" s="22"/>
      <x:c r="R46" s="22"/>
      <x:c r="S46" s="22"/>
      <x:c r="T46" s="22"/>
      <x:c r="U46" s="22"/>
      <x:c r="V46" s="28" t="str">
        <x:f>IF(COUNTA(A46:U46)=0,"",IF(OR(A46="",B46="",C46="",D46="",E46="",F46="",G46="",H46="",I46="",Q46="",R46="",T46=""),"不通过：缺少必填项",IF(COUNTIF($B$5:$B$104,B46)&gt;1,"不通过：设备编码重复",IF(COUNTIF($F$5:$F$104,F46)&gt;1,"不通过：序列号重复",IF(AND(I46&lt;&gt;"串口",OR(J46="",K46="")),"不通过：网络连接缺IP或端口",IF(AND(I46="串口",OR(L46="",M46="",N46="",O46="",P46="")),"不通过：串口参数不完整","通过"))))))</x:f>
      </x:c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34"/>
      <x:c r="L47" s="22"/>
      <x:c r="M47" s="34"/>
      <x:c r="N47" s="34"/>
      <x:c r="O47" s="22"/>
      <x:c r="P47" s="34"/>
      <x:c r="Q47" s="22"/>
      <x:c r="R47" s="22"/>
      <x:c r="S47" s="22"/>
      <x:c r="T47" s="22"/>
      <x:c r="U47" s="22"/>
      <x:c r="V47" s="28" t="str">
        <x:f>IF(COUNTA(A47:U47)=0,"",IF(OR(A47="",B47="",C47="",D47="",E47="",F47="",G47="",H47="",I47="",Q47="",R47="",T47=""),"不通过：缺少必填项",IF(COUNTIF($B$5:$B$104,B47)&gt;1,"不通过：设备编码重复",IF(COUNTIF($F$5:$F$104,F47)&gt;1,"不通过：序列号重复",IF(AND(I47&lt;&gt;"串口",OR(J47="",K47="")),"不通过：网络连接缺IP或端口",IF(AND(I47="串口",OR(L47="",M47="",N47="",O47="",P47="")),"不通过：串口参数不完整","通过"))))))</x:f>
      </x:c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34"/>
      <x:c r="L48" s="22"/>
      <x:c r="M48" s="34"/>
      <x:c r="N48" s="34"/>
      <x:c r="O48" s="22"/>
      <x:c r="P48" s="34"/>
      <x:c r="Q48" s="22"/>
      <x:c r="R48" s="22"/>
      <x:c r="S48" s="22"/>
      <x:c r="T48" s="22"/>
      <x:c r="U48" s="22"/>
      <x:c r="V48" s="28" t="str">
        <x:f>IF(COUNTA(A48:U48)=0,"",IF(OR(A48="",B48="",C48="",D48="",E48="",F48="",G48="",H48="",I48="",Q48="",R48="",T48=""),"不通过：缺少必填项",IF(COUNTIF($B$5:$B$104,B48)&gt;1,"不通过：设备编码重复",IF(COUNTIF($F$5:$F$104,F48)&gt;1,"不通过：序列号重复",IF(AND(I48&lt;&gt;"串口",OR(J48="",K48="")),"不通过：网络连接缺IP或端口",IF(AND(I48="串口",OR(L48="",M48="",N48="",O48="",P48="")),"不通过：串口参数不完整","通过"))))))</x:f>
      </x:c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34"/>
      <x:c r="L49" s="22"/>
      <x:c r="M49" s="34"/>
      <x:c r="N49" s="34"/>
      <x:c r="O49" s="22"/>
      <x:c r="P49" s="34"/>
      <x:c r="Q49" s="22"/>
      <x:c r="R49" s="22"/>
      <x:c r="S49" s="22"/>
      <x:c r="T49" s="22"/>
      <x:c r="U49" s="22"/>
      <x:c r="V49" s="28" t="str">
        <x:f>IF(COUNTA(A49:U49)=0,"",IF(OR(A49="",B49="",C49="",D49="",E49="",F49="",G49="",H49="",I49="",Q49="",R49="",T49=""),"不通过：缺少必填项",IF(COUNTIF($B$5:$B$104,B49)&gt;1,"不通过：设备编码重复",IF(COUNTIF($F$5:$F$104,F49)&gt;1,"不通过：序列号重复",IF(AND(I49&lt;&gt;"串口",OR(J49="",K49="")),"不通过：网络连接缺IP或端口",IF(AND(I49="串口",OR(L49="",M49="",N49="",O49="",P49="")),"不通过：串口参数不完整","通过"))))))</x:f>
      </x:c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34"/>
      <x:c r="L50" s="22"/>
      <x:c r="M50" s="34"/>
      <x:c r="N50" s="34"/>
      <x:c r="O50" s="22"/>
      <x:c r="P50" s="34"/>
      <x:c r="Q50" s="22"/>
      <x:c r="R50" s="22"/>
      <x:c r="S50" s="22"/>
      <x:c r="T50" s="22"/>
      <x:c r="U50" s="22"/>
      <x:c r="V50" s="28" t="str">
        <x:f>IF(COUNTA(A50:U50)=0,"",IF(OR(A50="",B50="",C50="",D50="",E50="",F50="",G50="",H50="",I50="",Q50="",R50="",T50=""),"不通过：缺少必填项",IF(COUNTIF($B$5:$B$104,B50)&gt;1,"不通过：设备编码重复",IF(COUNTIF($F$5:$F$104,F50)&gt;1,"不通过：序列号重复",IF(AND(I50&lt;&gt;"串口",OR(J50="",K50="")),"不通过：网络连接缺IP或端口",IF(AND(I50="串口",OR(L50="",M50="",N50="",O50="",P50="")),"不通过：串口参数不完整","通过"))))))</x:f>
      </x:c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34"/>
      <x:c r="L51" s="22"/>
      <x:c r="M51" s="34"/>
      <x:c r="N51" s="34"/>
      <x:c r="O51" s="22"/>
      <x:c r="P51" s="34"/>
      <x:c r="Q51" s="22"/>
      <x:c r="R51" s="22"/>
      <x:c r="S51" s="22"/>
      <x:c r="T51" s="22"/>
      <x:c r="U51" s="22"/>
      <x:c r="V51" s="28" t="str">
        <x:f>IF(COUNTA(A51:U51)=0,"",IF(OR(A51="",B51="",C51="",D51="",E51="",F51="",G51="",H51="",I51="",Q51="",R51="",T51=""),"不通过：缺少必填项",IF(COUNTIF($B$5:$B$104,B51)&gt;1,"不通过：设备编码重复",IF(COUNTIF($F$5:$F$104,F51)&gt;1,"不通过：序列号重复",IF(AND(I51&lt;&gt;"串口",OR(J51="",K51="")),"不通过：网络连接缺IP或端口",IF(AND(I51="串口",OR(L51="",M51="",N51="",O51="",P51="")),"不通过：串口参数不完整","通过"))))))</x:f>
      </x:c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34"/>
      <x:c r="L52" s="22"/>
      <x:c r="M52" s="34"/>
      <x:c r="N52" s="34"/>
      <x:c r="O52" s="22"/>
      <x:c r="P52" s="34"/>
      <x:c r="Q52" s="22"/>
      <x:c r="R52" s="22"/>
      <x:c r="S52" s="22"/>
      <x:c r="T52" s="22"/>
      <x:c r="U52" s="22"/>
      <x:c r="V52" s="28" t="str">
        <x:f>IF(COUNTA(A52:U52)=0,"",IF(OR(A52="",B52="",C52="",D52="",E52="",F52="",G52="",H52="",I52="",Q52="",R52="",T52=""),"不通过：缺少必填项",IF(COUNTIF($B$5:$B$104,B52)&gt;1,"不通过：设备编码重复",IF(COUNTIF($F$5:$F$104,F52)&gt;1,"不通过：序列号重复",IF(AND(I52&lt;&gt;"串口",OR(J52="",K52="")),"不通过：网络连接缺IP或端口",IF(AND(I52="串口",OR(L52="",M52="",N52="",O52="",P52="")),"不通过：串口参数不完整","通过"))))))</x:f>
      </x:c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34"/>
      <x:c r="L53" s="22"/>
      <x:c r="M53" s="34"/>
      <x:c r="N53" s="34"/>
      <x:c r="O53" s="22"/>
      <x:c r="P53" s="34"/>
      <x:c r="Q53" s="22"/>
      <x:c r="R53" s="22"/>
      <x:c r="S53" s="22"/>
      <x:c r="T53" s="22"/>
      <x:c r="U53" s="22"/>
      <x:c r="V53" s="28" t="str">
        <x:f>IF(COUNTA(A53:U53)=0,"",IF(OR(A53="",B53="",C53="",D53="",E53="",F53="",G53="",H53="",I53="",Q53="",R53="",T53=""),"不通过：缺少必填项",IF(COUNTIF($B$5:$B$104,B53)&gt;1,"不通过：设备编码重复",IF(COUNTIF($F$5:$F$104,F53)&gt;1,"不通过：序列号重复",IF(AND(I53&lt;&gt;"串口",OR(J53="",K53="")),"不通过：网络连接缺IP或端口",IF(AND(I53="串口",OR(L53="",M53="",N53="",O53="",P53="")),"不通过：串口参数不完整","通过"))))))</x:f>
      </x:c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34"/>
      <x:c r="L54" s="22"/>
      <x:c r="M54" s="34"/>
      <x:c r="N54" s="34"/>
      <x:c r="O54" s="22"/>
      <x:c r="P54" s="34"/>
      <x:c r="Q54" s="22"/>
      <x:c r="R54" s="22"/>
      <x:c r="S54" s="22"/>
      <x:c r="T54" s="22"/>
      <x:c r="U54" s="22"/>
      <x:c r="V54" s="28" t="str">
        <x:f>IF(COUNTA(A54:U54)=0,"",IF(OR(A54="",B54="",C54="",D54="",E54="",F54="",G54="",H54="",I54="",Q54="",R54="",T54=""),"不通过：缺少必填项",IF(COUNTIF($B$5:$B$104,B54)&gt;1,"不通过：设备编码重复",IF(COUNTIF($F$5:$F$104,F54)&gt;1,"不通过：序列号重复",IF(AND(I54&lt;&gt;"串口",OR(J54="",K54="")),"不通过：网络连接缺IP或端口",IF(AND(I54="串口",OR(L54="",M54="",N54="",O54="",P54="")),"不通过：串口参数不完整","通过"))))))</x:f>
      </x:c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34"/>
      <x:c r="L55" s="22"/>
      <x:c r="M55" s="34"/>
      <x:c r="N55" s="34"/>
      <x:c r="O55" s="22"/>
      <x:c r="P55" s="34"/>
      <x:c r="Q55" s="22"/>
      <x:c r="R55" s="22"/>
      <x:c r="S55" s="22"/>
      <x:c r="T55" s="22"/>
      <x:c r="U55" s="22"/>
      <x:c r="V55" s="28" t="str">
        <x:f>IF(COUNTA(A55:U55)=0,"",IF(OR(A55="",B55="",C55="",D55="",E55="",F55="",G55="",H55="",I55="",Q55="",R55="",T55=""),"不通过：缺少必填项",IF(COUNTIF($B$5:$B$104,B55)&gt;1,"不通过：设备编码重复",IF(COUNTIF($F$5:$F$104,F55)&gt;1,"不通过：序列号重复",IF(AND(I55&lt;&gt;"串口",OR(J55="",K55="")),"不通过：网络连接缺IP或端口",IF(AND(I55="串口",OR(L55="",M55="",N55="",O55="",P55="")),"不通过：串口参数不完整","通过"))))))</x:f>
      </x:c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34"/>
      <x:c r="L56" s="22"/>
      <x:c r="M56" s="34"/>
      <x:c r="N56" s="34"/>
      <x:c r="O56" s="22"/>
      <x:c r="P56" s="34"/>
      <x:c r="Q56" s="22"/>
      <x:c r="R56" s="22"/>
      <x:c r="S56" s="22"/>
      <x:c r="T56" s="22"/>
      <x:c r="U56" s="22"/>
      <x:c r="V56" s="28" t="str">
        <x:f>IF(COUNTA(A56:U56)=0,"",IF(OR(A56="",B56="",C56="",D56="",E56="",F56="",G56="",H56="",I56="",Q56="",R56="",T56=""),"不通过：缺少必填项",IF(COUNTIF($B$5:$B$104,B56)&gt;1,"不通过：设备编码重复",IF(COUNTIF($F$5:$F$104,F56)&gt;1,"不通过：序列号重复",IF(AND(I56&lt;&gt;"串口",OR(J56="",K56="")),"不通过：网络连接缺IP或端口",IF(AND(I56="串口",OR(L56="",M56="",N56="",O56="",P56="")),"不通过：串口参数不完整","通过"))))))</x:f>
      </x:c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34"/>
      <x:c r="L57" s="22"/>
      <x:c r="M57" s="34"/>
      <x:c r="N57" s="34"/>
      <x:c r="O57" s="22"/>
      <x:c r="P57" s="34"/>
      <x:c r="Q57" s="22"/>
      <x:c r="R57" s="22"/>
      <x:c r="S57" s="22"/>
      <x:c r="T57" s="22"/>
      <x:c r="U57" s="22"/>
      <x:c r="V57" s="28" t="str">
        <x:f>IF(COUNTA(A57:U57)=0,"",IF(OR(A57="",B57="",C57="",D57="",E57="",F57="",G57="",H57="",I57="",Q57="",R57="",T57=""),"不通过：缺少必填项",IF(COUNTIF($B$5:$B$104,B57)&gt;1,"不通过：设备编码重复",IF(COUNTIF($F$5:$F$104,F57)&gt;1,"不通过：序列号重复",IF(AND(I57&lt;&gt;"串口",OR(J57="",K57="")),"不通过：网络连接缺IP或端口",IF(AND(I57="串口",OR(L57="",M57="",N57="",O57="",P57="")),"不通过：串口参数不完整","通过"))))))</x:f>
      </x:c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34"/>
      <x:c r="L58" s="22"/>
      <x:c r="M58" s="34"/>
      <x:c r="N58" s="34"/>
      <x:c r="O58" s="22"/>
      <x:c r="P58" s="34"/>
      <x:c r="Q58" s="22"/>
      <x:c r="R58" s="22"/>
      <x:c r="S58" s="22"/>
      <x:c r="T58" s="22"/>
      <x:c r="U58" s="22"/>
      <x:c r="V58" s="28" t="str">
        <x:f>IF(COUNTA(A58:U58)=0,"",IF(OR(A58="",B58="",C58="",D58="",E58="",F58="",G58="",H58="",I58="",Q58="",R58="",T58=""),"不通过：缺少必填项",IF(COUNTIF($B$5:$B$104,B58)&gt;1,"不通过：设备编码重复",IF(COUNTIF($F$5:$F$104,F58)&gt;1,"不通过：序列号重复",IF(AND(I58&lt;&gt;"串口",OR(J58="",K58="")),"不通过：网络连接缺IP或端口",IF(AND(I58="串口",OR(L58="",M58="",N58="",O58="",P58="")),"不通过：串口参数不完整","通过"))))))</x:f>
      </x:c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34"/>
      <x:c r="L59" s="22"/>
      <x:c r="M59" s="34"/>
      <x:c r="N59" s="34"/>
      <x:c r="O59" s="22"/>
      <x:c r="P59" s="34"/>
      <x:c r="Q59" s="22"/>
      <x:c r="R59" s="22"/>
      <x:c r="S59" s="22"/>
      <x:c r="T59" s="22"/>
      <x:c r="U59" s="22"/>
      <x:c r="V59" s="28" t="str">
        <x:f>IF(COUNTA(A59:U59)=0,"",IF(OR(A59="",B59="",C59="",D59="",E59="",F59="",G59="",H59="",I59="",Q59="",R59="",T59=""),"不通过：缺少必填项",IF(COUNTIF($B$5:$B$104,B59)&gt;1,"不通过：设备编码重复",IF(COUNTIF($F$5:$F$104,F59)&gt;1,"不通过：序列号重复",IF(AND(I59&lt;&gt;"串口",OR(J59="",K59="")),"不通过：网络连接缺IP或端口",IF(AND(I59="串口",OR(L59="",M59="",N59="",O59="",P59="")),"不通过：串口参数不完整","通过"))))))</x:f>
      </x:c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34"/>
      <x:c r="L60" s="22"/>
      <x:c r="M60" s="34"/>
      <x:c r="N60" s="34"/>
      <x:c r="O60" s="22"/>
      <x:c r="P60" s="34"/>
      <x:c r="Q60" s="22"/>
      <x:c r="R60" s="22"/>
      <x:c r="S60" s="22"/>
      <x:c r="T60" s="22"/>
      <x:c r="U60" s="22"/>
      <x:c r="V60" s="28" t="str">
        <x:f>IF(COUNTA(A60:U60)=0,"",IF(OR(A60="",B60="",C60="",D60="",E60="",F60="",G60="",H60="",I60="",Q60="",R60="",T60=""),"不通过：缺少必填项",IF(COUNTIF($B$5:$B$104,B60)&gt;1,"不通过：设备编码重复",IF(COUNTIF($F$5:$F$104,F60)&gt;1,"不通过：序列号重复",IF(AND(I60&lt;&gt;"串口",OR(J60="",K60="")),"不通过：网络连接缺IP或端口",IF(AND(I60="串口",OR(L60="",M60="",N60="",O60="",P60="")),"不通过：串口参数不完整","通过"))))))</x:f>
      </x:c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34"/>
      <x:c r="L61" s="22"/>
      <x:c r="M61" s="34"/>
      <x:c r="N61" s="34"/>
      <x:c r="O61" s="22"/>
      <x:c r="P61" s="34"/>
      <x:c r="Q61" s="22"/>
      <x:c r="R61" s="22"/>
      <x:c r="S61" s="22"/>
      <x:c r="T61" s="22"/>
      <x:c r="U61" s="22"/>
      <x:c r="V61" s="28" t="str">
        <x:f>IF(COUNTA(A61:U61)=0,"",IF(OR(A61="",B61="",C61="",D61="",E61="",F61="",G61="",H61="",I61="",Q61="",R61="",T61=""),"不通过：缺少必填项",IF(COUNTIF($B$5:$B$104,B61)&gt;1,"不通过：设备编码重复",IF(COUNTIF($F$5:$F$104,F61)&gt;1,"不通过：序列号重复",IF(AND(I61&lt;&gt;"串口",OR(J61="",K61="")),"不通过：网络连接缺IP或端口",IF(AND(I61="串口",OR(L61="",M61="",N61="",O61="",P61="")),"不通过：串口参数不完整","通过"))))))</x:f>
      </x:c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34"/>
      <x:c r="L62" s="22"/>
      <x:c r="M62" s="34"/>
      <x:c r="N62" s="34"/>
      <x:c r="O62" s="22"/>
      <x:c r="P62" s="34"/>
      <x:c r="Q62" s="22"/>
      <x:c r="R62" s="22"/>
      <x:c r="S62" s="22"/>
      <x:c r="T62" s="22"/>
      <x:c r="U62" s="22"/>
      <x:c r="V62" s="28" t="str">
        <x:f>IF(COUNTA(A62:U62)=0,"",IF(OR(A62="",B62="",C62="",D62="",E62="",F62="",G62="",H62="",I62="",Q62="",R62="",T62=""),"不通过：缺少必填项",IF(COUNTIF($B$5:$B$104,B62)&gt;1,"不通过：设备编码重复",IF(COUNTIF($F$5:$F$104,F62)&gt;1,"不通过：序列号重复",IF(AND(I62&lt;&gt;"串口",OR(J62="",K62="")),"不通过：网络连接缺IP或端口",IF(AND(I62="串口",OR(L62="",M62="",N62="",O62="",P62="")),"不通过：串口参数不完整","通过"))))))</x:f>
      </x:c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34"/>
      <x:c r="L63" s="22"/>
      <x:c r="M63" s="34"/>
      <x:c r="N63" s="34"/>
      <x:c r="O63" s="22"/>
      <x:c r="P63" s="34"/>
      <x:c r="Q63" s="22"/>
      <x:c r="R63" s="22"/>
      <x:c r="S63" s="22"/>
      <x:c r="T63" s="22"/>
      <x:c r="U63" s="22"/>
      <x:c r="V63" s="28" t="str">
        <x:f>IF(COUNTA(A63:U63)=0,"",IF(OR(A63="",B63="",C63="",D63="",E63="",F63="",G63="",H63="",I63="",Q63="",R63="",T63=""),"不通过：缺少必填项",IF(COUNTIF($B$5:$B$104,B63)&gt;1,"不通过：设备编码重复",IF(COUNTIF($F$5:$F$104,F63)&gt;1,"不通过：序列号重复",IF(AND(I63&lt;&gt;"串口",OR(J63="",K63="")),"不通过：网络连接缺IP或端口",IF(AND(I63="串口",OR(L63="",M63="",N63="",O63="",P63="")),"不通过：串口参数不完整","通过"))))))</x:f>
      </x:c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34"/>
      <x:c r="L64" s="22"/>
      <x:c r="M64" s="34"/>
      <x:c r="N64" s="34"/>
      <x:c r="O64" s="22"/>
      <x:c r="P64" s="34"/>
      <x:c r="Q64" s="22"/>
      <x:c r="R64" s="22"/>
      <x:c r="S64" s="22"/>
      <x:c r="T64" s="22"/>
      <x:c r="U64" s="22"/>
      <x:c r="V64" s="28" t="str">
        <x:f>IF(COUNTA(A64:U64)=0,"",IF(OR(A64="",B64="",C64="",D64="",E64="",F64="",G64="",H64="",I64="",Q64="",R64="",T64=""),"不通过：缺少必填项",IF(COUNTIF($B$5:$B$104,B64)&gt;1,"不通过：设备编码重复",IF(COUNTIF($F$5:$F$104,F64)&gt;1,"不通过：序列号重复",IF(AND(I64&lt;&gt;"串口",OR(J64="",K64="")),"不通过：网络连接缺IP或端口",IF(AND(I64="串口",OR(L64="",M64="",N64="",O64="",P64="")),"不通过：串口参数不完整","通过"))))))</x:f>
      </x:c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34"/>
      <x:c r="L65" s="22"/>
      <x:c r="M65" s="34"/>
      <x:c r="N65" s="34"/>
      <x:c r="O65" s="22"/>
      <x:c r="P65" s="34"/>
      <x:c r="Q65" s="22"/>
      <x:c r="R65" s="22"/>
      <x:c r="S65" s="22"/>
      <x:c r="T65" s="22"/>
      <x:c r="U65" s="22"/>
      <x:c r="V65" s="28" t="str">
        <x:f>IF(COUNTA(A65:U65)=0,"",IF(OR(A65="",B65="",C65="",D65="",E65="",F65="",G65="",H65="",I65="",Q65="",R65="",T65=""),"不通过：缺少必填项",IF(COUNTIF($B$5:$B$104,B65)&gt;1,"不通过：设备编码重复",IF(COUNTIF($F$5:$F$104,F65)&gt;1,"不通过：序列号重复",IF(AND(I65&lt;&gt;"串口",OR(J65="",K65="")),"不通过：网络连接缺IP或端口",IF(AND(I65="串口",OR(L65="",M65="",N65="",O65="",P65="")),"不通过：串口参数不完整","通过"))))))</x:f>
      </x:c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34"/>
      <x:c r="L66" s="22"/>
      <x:c r="M66" s="34"/>
      <x:c r="N66" s="34"/>
      <x:c r="O66" s="22"/>
      <x:c r="P66" s="34"/>
      <x:c r="Q66" s="22"/>
      <x:c r="R66" s="22"/>
      <x:c r="S66" s="22"/>
      <x:c r="T66" s="22"/>
      <x:c r="U66" s="22"/>
      <x:c r="V66" s="28" t="str">
        <x:f>IF(COUNTA(A66:U66)=0,"",IF(OR(A66="",B66="",C66="",D66="",E66="",F66="",G66="",H66="",I66="",Q66="",R66="",T66=""),"不通过：缺少必填项",IF(COUNTIF($B$5:$B$104,B66)&gt;1,"不通过：设备编码重复",IF(COUNTIF($F$5:$F$104,F66)&gt;1,"不通过：序列号重复",IF(AND(I66&lt;&gt;"串口",OR(J66="",K66="")),"不通过：网络连接缺IP或端口",IF(AND(I66="串口",OR(L66="",M66="",N66="",O66="",P66="")),"不通过：串口参数不完整","通过"))))))</x:f>
      </x:c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34"/>
      <x:c r="L67" s="22"/>
      <x:c r="M67" s="34"/>
      <x:c r="N67" s="34"/>
      <x:c r="O67" s="22"/>
      <x:c r="P67" s="34"/>
      <x:c r="Q67" s="22"/>
      <x:c r="R67" s="22"/>
      <x:c r="S67" s="22"/>
      <x:c r="T67" s="22"/>
      <x:c r="U67" s="22"/>
      <x:c r="V67" s="28" t="str">
        <x:f>IF(COUNTA(A67:U67)=0,"",IF(OR(A67="",B67="",C67="",D67="",E67="",F67="",G67="",H67="",I67="",Q67="",R67="",T67=""),"不通过：缺少必填项",IF(COUNTIF($B$5:$B$104,B67)&gt;1,"不通过：设备编码重复",IF(COUNTIF($F$5:$F$104,F67)&gt;1,"不通过：序列号重复",IF(AND(I67&lt;&gt;"串口",OR(J67="",K67="")),"不通过：网络连接缺IP或端口",IF(AND(I67="串口",OR(L67="",M67="",N67="",O67="",P67="")),"不通过：串口参数不完整","通过"))))))</x:f>
      </x:c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34"/>
      <x:c r="L68" s="22"/>
      <x:c r="M68" s="34"/>
      <x:c r="N68" s="34"/>
      <x:c r="O68" s="22"/>
      <x:c r="P68" s="34"/>
      <x:c r="Q68" s="22"/>
      <x:c r="R68" s="22"/>
      <x:c r="S68" s="22"/>
      <x:c r="T68" s="22"/>
      <x:c r="U68" s="22"/>
      <x:c r="V68" s="28" t="str">
        <x:f>IF(COUNTA(A68:U68)=0,"",IF(OR(A68="",B68="",C68="",D68="",E68="",F68="",G68="",H68="",I68="",Q68="",R68="",T68=""),"不通过：缺少必填项",IF(COUNTIF($B$5:$B$104,B68)&gt;1,"不通过：设备编码重复",IF(COUNTIF($F$5:$F$104,F68)&gt;1,"不通过：序列号重复",IF(AND(I68&lt;&gt;"串口",OR(J68="",K68="")),"不通过：网络连接缺IP或端口",IF(AND(I68="串口",OR(L68="",M68="",N68="",O68="",P68="")),"不通过：串口参数不完整","通过"))))))</x:f>
      </x:c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34"/>
      <x:c r="L69" s="22"/>
      <x:c r="M69" s="34"/>
      <x:c r="N69" s="34"/>
      <x:c r="O69" s="22"/>
      <x:c r="P69" s="34"/>
      <x:c r="Q69" s="22"/>
      <x:c r="R69" s="22"/>
      <x:c r="S69" s="22"/>
      <x:c r="T69" s="22"/>
      <x:c r="U69" s="22"/>
      <x:c r="V69" s="28" t="str">
        <x:f>IF(COUNTA(A69:U69)=0,"",IF(OR(A69="",B69="",C69="",D69="",E69="",F69="",G69="",H69="",I69="",Q69="",R69="",T69=""),"不通过：缺少必填项",IF(COUNTIF($B$5:$B$104,B69)&gt;1,"不通过：设备编码重复",IF(COUNTIF($F$5:$F$104,F69)&gt;1,"不通过：序列号重复",IF(AND(I69&lt;&gt;"串口",OR(J69="",K69="")),"不通过：网络连接缺IP或端口",IF(AND(I69="串口",OR(L69="",M69="",N69="",O69="",P69="")),"不通过：串口参数不完整","通过"))))))</x:f>
      </x:c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34"/>
      <x:c r="L70" s="22"/>
      <x:c r="M70" s="34"/>
      <x:c r="N70" s="34"/>
      <x:c r="O70" s="22"/>
      <x:c r="P70" s="34"/>
      <x:c r="Q70" s="22"/>
      <x:c r="R70" s="22"/>
      <x:c r="S70" s="22"/>
      <x:c r="T70" s="22"/>
      <x:c r="U70" s="22"/>
      <x:c r="V70" s="28" t="str">
        <x:f>IF(COUNTA(A70:U70)=0,"",IF(OR(A70="",B70="",C70="",D70="",E70="",F70="",G70="",H70="",I70="",Q70="",R70="",T70=""),"不通过：缺少必填项",IF(COUNTIF($B$5:$B$104,B70)&gt;1,"不通过：设备编码重复",IF(COUNTIF($F$5:$F$104,F70)&gt;1,"不通过：序列号重复",IF(AND(I70&lt;&gt;"串口",OR(J70="",K70="")),"不通过：网络连接缺IP或端口",IF(AND(I70="串口",OR(L70="",M70="",N70="",O70="",P70="")),"不通过：串口参数不完整","通过"))))))</x:f>
      </x:c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34"/>
      <x:c r="L71" s="22"/>
      <x:c r="M71" s="34"/>
      <x:c r="N71" s="34"/>
      <x:c r="O71" s="22"/>
      <x:c r="P71" s="34"/>
      <x:c r="Q71" s="22"/>
      <x:c r="R71" s="22"/>
      <x:c r="S71" s="22"/>
      <x:c r="T71" s="22"/>
      <x:c r="U71" s="22"/>
      <x:c r="V71" s="28" t="str">
        <x:f>IF(COUNTA(A71:U71)=0,"",IF(OR(A71="",B71="",C71="",D71="",E71="",F71="",G71="",H71="",I71="",Q71="",R71="",T71=""),"不通过：缺少必填项",IF(COUNTIF($B$5:$B$104,B71)&gt;1,"不通过：设备编码重复",IF(COUNTIF($F$5:$F$104,F71)&gt;1,"不通过：序列号重复",IF(AND(I71&lt;&gt;"串口",OR(J71="",K71="")),"不通过：网络连接缺IP或端口",IF(AND(I71="串口",OR(L71="",M71="",N71="",O71="",P71="")),"不通过：串口参数不完整","通过"))))))</x:f>
      </x:c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34"/>
      <x:c r="L72" s="22"/>
      <x:c r="M72" s="34"/>
      <x:c r="N72" s="34"/>
      <x:c r="O72" s="22"/>
      <x:c r="P72" s="34"/>
      <x:c r="Q72" s="22"/>
      <x:c r="R72" s="22"/>
      <x:c r="S72" s="22"/>
      <x:c r="T72" s="22"/>
      <x:c r="U72" s="22"/>
      <x:c r="V72" s="28" t="str">
        <x:f>IF(COUNTA(A72:U72)=0,"",IF(OR(A72="",B72="",C72="",D72="",E72="",F72="",G72="",H72="",I72="",Q72="",R72="",T72=""),"不通过：缺少必填项",IF(COUNTIF($B$5:$B$104,B72)&gt;1,"不通过：设备编码重复",IF(COUNTIF($F$5:$F$104,F72)&gt;1,"不通过：序列号重复",IF(AND(I72&lt;&gt;"串口",OR(J72="",K72="")),"不通过：网络连接缺IP或端口",IF(AND(I72="串口",OR(L72="",M72="",N72="",O72="",P72="")),"不通过：串口参数不完整","通过"))))))</x:f>
      </x:c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34"/>
      <x:c r="L73" s="22"/>
      <x:c r="M73" s="34"/>
      <x:c r="N73" s="34"/>
      <x:c r="O73" s="22"/>
      <x:c r="P73" s="34"/>
      <x:c r="Q73" s="22"/>
      <x:c r="R73" s="22"/>
      <x:c r="S73" s="22"/>
      <x:c r="T73" s="22"/>
      <x:c r="U73" s="22"/>
      <x:c r="V73" s="28" t="str">
        <x:f>IF(COUNTA(A73:U73)=0,"",IF(OR(A73="",B73="",C73="",D73="",E73="",F73="",G73="",H73="",I73="",Q73="",R73="",T73=""),"不通过：缺少必填项",IF(COUNTIF($B$5:$B$104,B73)&gt;1,"不通过：设备编码重复",IF(COUNTIF($F$5:$F$104,F73)&gt;1,"不通过：序列号重复",IF(AND(I73&lt;&gt;"串口",OR(J73="",K73="")),"不通过：网络连接缺IP或端口",IF(AND(I73="串口",OR(L73="",M73="",N73="",O73="",P73="")),"不通过：串口参数不完整","通过"))))))</x:f>
      </x:c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34"/>
      <x:c r="L74" s="22"/>
      <x:c r="M74" s="34"/>
      <x:c r="N74" s="34"/>
      <x:c r="O74" s="22"/>
      <x:c r="P74" s="34"/>
      <x:c r="Q74" s="22"/>
      <x:c r="R74" s="22"/>
      <x:c r="S74" s="22"/>
      <x:c r="T74" s="22"/>
      <x:c r="U74" s="22"/>
      <x:c r="V74" s="28" t="str">
        <x:f>IF(COUNTA(A74:U74)=0,"",IF(OR(A74="",B74="",C74="",D74="",E74="",F74="",G74="",H74="",I74="",Q74="",R74="",T74=""),"不通过：缺少必填项",IF(COUNTIF($B$5:$B$104,B74)&gt;1,"不通过：设备编码重复",IF(COUNTIF($F$5:$F$104,F74)&gt;1,"不通过：序列号重复",IF(AND(I74&lt;&gt;"串口",OR(J74="",K74="")),"不通过：网络连接缺IP或端口",IF(AND(I74="串口",OR(L74="",M74="",N74="",O74="",P74="")),"不通过：串口参数不完整","通过"))))))</x:f>
      </x:c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34"/>
      <x:c r="L75" s="22"/>
      <x:c r="M75" s="34"/>
      <x:c r="N75" s="34"/>
      <x:c r="O75" s="22"/>
      <x:c r="P75" s="34"/>
      <x:c r="Q75" s="22"/>
      <x:c r="R75" s="22"/>
      <x:c r="S75" s="22"/>
      <x:c r="T75" s="22"/>
      <x:c r="U75" s="22"/>
      <x:c r="V75" s="28" t="str">
        <x:f>IF(COUNTA(A75:U75)=0,"",IF(OR(A75="",B75="",C75="",D75="",E75="",F75="",G75="",H75="",I75="",Q75="",R75="",T75=""),"不通过：缺少必填项",IF(COUNTIF($B$5:$B$104,B75)&gt;1,"不通过：设备编码重复",IF(COUNTIF($F$5:$F$104,F75)&gt;1,"不通过：序列号重复",IF(AND(I75&lt;&gt;"串口",OR(J75="",K75="")),"不通过：网络连接缺IP或端口",IF(AND(I75="串口",OR(L75="",M75="",N75="",O75="",P75="")),"不通过：串口参数不完整","通过"))))))</x:f>
      </x:c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34"/>
      <x:c r="L76" s="22"/>
      <x:c r="M76" s="34"/>
      <x:c r="N76" s="34"/>
      <x:c r="O76" s="22"/>
      <x:c r="P76" s="34"/>
      <x:c r="Q76" s="22"/>
      <x:c r="R76" s="22"/>
      <x:c r="S76" s="22"/>
      <x:c r="T76" s="22"/>
      <x:c r="U76" s="22"/>
      <x:c r="V76" s="28" t="str">
        <x:f>IF(COUNTA(A76:U76)=0,"",IF(OR(A76="",B76="",C76="",D76="",E76="",F76="",G76="",H76="",I76="",Q76="",R76="",T76=""),"不通过：缺少必填项",IF(COUNTIF($B$5:$B$104,B76)&gt;1,"不通过：设备编码重复",IF(COUNTIF($F$5:$F$104,F76)&gt;1,"不通过：序列号重复",IF(AND(I76&lt;&gt;"串口",OR(J76="",K76="")),"不通过：网络连接缺IP或端口",IF(AND(I76="串口",OR(L76="",M76="",N76="",O76="",P76="")),"不通过：串口参数不完整","通过"))))))</x:f>
      </x:c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34"/>
      <x:c r="L77" s="22"/>
      <x:c r="M77" s="34"/>
      <x:c r="N77" s="34"/>
      <x:c r="O77" s="22"/>
      <x:c r="P77" s="34"/>
      <x:c r="Q77" s="22"/>
      <x:c r="R77" s="22"/>
      <x:c r="S77" s="22"/>
      <x:c r="T77" s="22"/>
      <x:c r="U77" s="22"/>
      <x:c r="V77" s="28" t="str">
        <x:f>IF(COUNTA(A77:U77)=0,"",IF(OR(A77="",B77="",C77="",D77="",E77="",F77="",G77="",H77="",I77="",Q77="",R77="",T77=""),"不通过：缺少必填项",IF(COUNTIF($B$5:$B$104,B77)&gt;1,"不通过：设备编码重复",IF(COUNTIF($F$5:$F$104,F77)&gt;1,"不通过：序列号重复",IF(AND(I77&lt;&gt;"串口",OR(J77="",K77="")),"不通过：网络连接缺IP或端口",IF(AND(I77="串口",OR(L77="",M77="",N77="",O77="",P77="")),"不通过：串口参数不完整","通过"))))))</x:f>
      </x:c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34"/>
      <x:c r="L78" s="22"/>
      <x:c r="M78" s="34"/>
      <x:c r="N78" s="34"/>
      <x:c r="O78" s="22"/>
      <x:c r="P78" s="34"/>
      <x:c r="Q78" s="22"/>
      <x:c r="R78" s="22"/>
      <x:c r="S78" s="22"/>
      <x:c r="T78" s="22"/>
      <x:c r="U78" s="22"/>
      <x:c r="V78" s="28" t="str">
        <x:f>IF(COUNTA(A78:U78)=0,"",IF(OR(A78="",B78="",C78="",D78="",E78="",F78="",G78="",H78="",I78="",Q78="",R78="",T78=""),"不通过：缺少必填项",IF(COUNTIF($B$5:$B$104,B78)&gt;1,"不通过：设备编码重复",IF(COUNTIF($F$5:$F$104,F78)&gt;1,"不通过：序列号重复",IF(AND(I78&lt;&gt;"串口",OR(J78="",K78="")),"不通过：网络连接缺IP或端口",IF(AND(I78="串口",OR(L78="",M78="",N78="",O78="",P78="")),"不通过：串口参数不完整","通过"))))))</x:f>
      </x:c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34"/>
      <x:c r="L79" s="22"/>
      <x:c r="M79" s="34"/>
      <x:c r="N79" s="34"/>
      <x:c r="O79" s="22"/>
      <x:c r="P79" s="34"/>
      <x:c r="Q79" s="22"/>
      <x:c r="R79" s="22"/>
      <x:c r="S79" s="22"/>
      <x:c r="T79" s="22"/>
      <x:c r="U79" s="22"/>
      <x:c r="V79" s="28" t="str">
        <x:f>IF(COUNTA(A79:U79)=0,"",IF(OR(A79="",B79="",C79="",D79="",E79="",F79="",G79="",H79="",I79="",Q79="",R79="",T79=""),"不通过：缺少必填项",IF(COUNTIF($B$5:$B$104,B79)&gt;1,"不通过：设备编码重复",IF(COUNTIF($F$5:$F$104,F79)&gt;1,"不通过：序列号重复",IF(AND(I79&lt;&gt;"串口",OR(J79="",K79="")),"不通过：网络连接缺IP或端口",IF(AND(I79="串口",OR(L79="",M79="",N79="",O79="",P79="")),"不通过：串口参数不完整","通过"))))))</x:f>
      </x:c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34"/>
      <x:c r="L80" s="22"/>
      <x:c r="M80" s="34"/>
      <x:c r="N80" s="34"/>
      <x:c r="O80" s="22"/>
      <x:c r="P80" s="34"/>
      <x:c r="Q80" s="22"/>
      <x:c r="R80" s="22"/>
      <x:c r="S80" s="22"/>
      <x:c r="T80" s="22"/>
      <x:c r="U80" s="22"/>
      <x:c r="V80" s="28" t="str">
        <x:f>IF(COUNTA(A80:U80)=0,"",IF(OR(A80="",B80="",C80="",D80="",E80="",F80="",G80="",H80="",I80="",Q80="",R80="",T80=""),"不通过：缺少必填项",IF(COUNTIF($B$5:$B$104,B80)&gt;1,"不通过：设备编码重复",IF(COUNTIF($F$5:$F$104,F80)&gt;1,"不通过：序列号重复",IF(AND(I80&lt;&gt;"串口",OR(J80="",K80="")),"不通过：网络连接缺IP或端口",IF(AND(I80="串口",OR(L80="",M80="",N80="",O80="",P80="")),"不通过：串口参数不完整","通过"))))))</x:f>
      </x:c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34"/>
      <x:c r="L81" s="22"/>
      <x:c r="M81" s="34"/>
      <x:c r="N81" s="34"/>
      <x:c r="O81" s="22"/>
      <x:c r="P81" s="34"/>
      <x:c r="Q81" s="22"/>
      <x:c r="R81" s="22"/>
      <x:c r="S81" s="22"/>
      <x:c r="T81" s="22"/>
      <x:c r="U81" s="22"/>
      <x:c r="V81" s="28" t="str">
        <x:f>IF(COUNTA(A81:U81)=0,"",IF(OR(A81="",B81="",C81="",D81="",E81="",F81="",G81="",H81="",I81="",Q81="",R81="",T81=""),"不通过：缺少必填项",IF(COUNTIF($B$5:$B$104,B81)&gt;1,"不通过：设备编码重复",IF(COUNTIF($F$5:$F$104,F81)&gt;1,"不通过：序列号重复",IF(AND(I81&lt;&gt;"串口",OR(J81="",K81="")),"不通过：网络连接缺IP或端口",IF(AND(I81="串口",OR(L81="",M81="",N81="",O81="",P81="")),"不通过：串口参数不完整","通过"))))))</x:f>
      </x:c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34"/>
      <x:c r="L82" s="22"/>
      <x:c r="M82" s="34"/>
      <x:c r="N82" s="34"/>
      <x:c r="O82" s="22"/>
      <x:c r="P82" s="34"/>
      <x:c r="Q82" s="22"/>
      <x:c r="R82" s="22"/>
      <x:c r="S82" s="22"/>
      <x:c r="T82" s="22"/>
      <x:c r="U82" s="22"/>
      <x:c r="V82" s="28" t="str">
        <x:f>IF(COUNTA(A82:U82)=0,"",IF(OR(A82="",B82="",C82="",D82="",E82="",F82="",G82="",H82="",I82="",Q82="",R82="",T82=""),"不通过：缺少必填项",IF(COUNTIF($B$5:$B$104,B82)&gt;1,"不通过：设备编码重复",IF(COUNTIF($F$5:$F$104,F82)&gt;1,"不通过：序列号重复",IF(AND(I82&lt;&gt;"串口",OR(J82="",K82="")),"不通过：网络连接缺IP或端口",IF(AND(I82="串口",OR(L82="",M82="",N82="",O82="",P82="")),"不通过：串口参数不完整","通过"))))))</x:f>
      </x:c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34"/>
      <x:c r="L83" s="22"/>
      <x:c r="M83" s="34"/>
      <x:c r="N83" s="34"/>
      <x:c r="O83" s="22"/>
      <x:c r="P83" s="34"/>
      <x:c r="Q83" s="22"/>
      <x:c r="R83" s="22"/>
      <x:c r="S83" s="22"/>
      <x:c r="T83" s="22"/>
      <x:c r="U83" s="22"/>
      <x:c r="V83" s="28" t="str">
        <x:f>IF(COUNTA(A83:U83)=0,"",IF(OR(A83="",B83="",C83="",D83="",E83="",F83="",G83="",H83="",I83="",Q83="",R83="",T83=""),"不通过：缺少必填项",IF(COUNTIF($B$5:$B$104,B83)&gt;1,"不通过：设备编码重复",IF(COUNTIF($F$5:$F$104,F83)&gt;1,"不通过：序列号重复",IF(AND(I83&lt;&gt;"串口",OR(J83="",K83="")),"不通过：网络连接缺IP或端口",IF(AND(I83="串口",OR(L83="",M83="",N83="",O83="",P83="")),"不通过：串口参数不完整","通过"))))))</x:f>
      </x:c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34"/>
      <x:c r="L84" s="22"/>
      <x:c r="M84" s="34"/>
      <x:c r="N84" s="34"/>
      <x:c r="O84" s="22"/>
      <x:c r="P84" s="34"/>
      <x:c r="Q84" s="22"/>
      <x:c r="R84" s="22"/>
      <x:c r="S84" s="22"/>
      <x:c r="T84" s="22"/>
      <x:c r="U84" s="22"/>
      <x:c r="V84" s="28" t="str">
        <x:f>IF(COUNTA(A84:U84)=0,"",IF(OR(A84="",B84="",C84="",D84="",E84="",F84="",G84="",H84="",I84="",Q84="",R84="",T84=""),"不通过：缺少必填项",IF(COUNTIF($B$5:$B$104,B84)&gt;1,"不通过：设备编码重复",IF(COUNTIF($F$5:$F$104,F84)&gt;1,"不通过：序列号重复",IF(AND(I84&lt;&gt;"串口",OR(J84="",K84="")),"不通过：网络连接缺IP或端口",IF(AND(I84="串口",OR(L84="",M84="",N84="",O84="",P84="")),"不通过：串口参数不完整","通过"))))))</x:f>
      </x:c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34"/>
      <x:c r="L85" s="22"/>
      <x:c r="M85" s="34"/>
      <x:c r="N85" s="34"/>
      <x:c r="O85" s="22"/>
      <x:c r="P85" s="34"/>
      <x:c r="Q85" s="22"/>
      <x:c r="R85" s="22"/>
      <x:c r="S85" s="22"/>
      <x:c r="T85" s="22"/>
      <x:c r="U85" s="22"/>
      <x:c r="V85" s="28" t="str">
        <x:f>IF(COUNTA(A85:U85)=0,"",IF(OR(A85="",B85="",C85="",D85="",E85="",F85="",G85="",H85="",I85="",Q85="",R85="",T85=""),"不通过：缺少必填项",IF(COUNTIF($B$5:$B$104,B85)&gt;1,"不通过：设备编码重复",IF(COUNTIF($F$5:$F$104,F85)&gt;1,"不通过：序列号重复",IF(AND(I85&lt;&gt;"串口",OR(J85="",K85="")),"不通过：网络连接缺IP或端口",IF(AND(I85="串口",OR(L85="",M85="",N85="",O85="",P85="")),"不通过：串口参数不完整","通过"))))))</x:f>
      </x:c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34"/>
      <x:c r="L86" s="22"/>
      <x:c r="M86" s="34"/>
      <x:c r="N86" s="34"/>
      <x:c r="O86" s="22"/>
      <x:c r="P86" s="34"/>
      <x:c r="Q86" s="22"/>
      <x:c r="R86" s="22"/>
      <x:c r="S86" s="22"/>
      <x:c r="T86" s="22"/>
      <x:c r="U86" s="22"/>
      <x:c r="V86" s="28" t="str">
        <x:f>IF(COUNTA(A86:U86)=0,"",IF(OR(A86="",B86="",C86="",D86="",E86="",F86="",G86="",H86="",I86="",Q86="",R86="",T86=""),"不通过：缺少必填项",IF(COUNTIF($B$5:$B$104,B86)&gt;1,"不通过：设备编码重复",IF(COUNTIF($F$5:$F$104,F86)&gt;1,"不通过：序列号重复",IF(AND(I86&lt;&gt;"串口",OR(J86="",K86="")),"不通过：网络连接缺IP或端口",IF(AND(I86="串口",OR(L86="",M86="",N86="",O86="",P86="")),"不通过：串口参数不完整","通过"))))))</x:f>
      </x:c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34"/>
      <x:c r="L87" s="22"/>
      <x:c r="M87" s="34"/>
      <x:c r="N87" s="34"/>
      <x:c r="O87" s="22"/>
      <x:c r="P87" s="34"/>
      <x:c r="Q87" s="22"/>
      <x:c r="R87" s="22"/>
      <x:c r="S87" s="22"/>
      <x:c r="T87" s="22"/>
      <x:c r="U87" s="22"/>
      <x:c r="V87" s="28" t="str">
        <x:f>IF(COUNTA(A87:U87)=0,"",IF(OR(A87="",B87="",C87="",D87="",E87="",F87="",G87="",H87="",I87="",Q87="",R87="",T87=""),"不通过：缺少必填项",IF(COUNTIF($B$5:$B$104,B87)&gt;1,"不通过：设备编码重复",IF(COUNTIF($F$5:$F$104,F87)&gt;1,"不通过：序列号重复",IF(AND(I87&lt;&gt;"串口",OR(J87="",K87="")),"不通过：网络连接缺IP或端口",IF(AND(I87="串口",OR(L87="",M87="",N87="",O87="",P87="")),"不通过：串口参数不完整","通过"))))))</x:f>
      </x:c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34"/>
      <x:c r="L88" s="22"/>
      <x:c r="M88" s="34"/>
      <x:c r="N88" s="34"/>
      <x:c r="O88" s="22"/>
      <x:c r="P88" s="34"/>
      <x:c r="Q88" s="22"/>
      <x:c r="R88" s="22"/>
      <x:c r="S88" s="22"/>
      <x:c r="T88" s="22"/>
      <x:c r="U88" s="22"/>
      <x:c r="V88" s="28" t="str">
        <x:f>IF(COUNTA(A88:U88)=0,"",IF(OR(A88="",B88="",C88="",D88="",E88="",F88="",G88="",H88="",I88="",Q88="",R88="",T88=""),"不通过：缺少必填项",IF(COUNTIF($B$5:$B$104,B88)&gt;1,"不通过：设备编码重复",IF(COUNTIF($F$5:$F$104,F88)&gt;1,"不通过：序列号重复",IF(AND(I88&lt;&gt;"串口",OR(J88="",K88="")),"不通过：网络连接缺IP或端口",IF(AND(I88="串口",OR(L88="",M88="",N88="",O88="",P88="")),"不通过：串口参数不完整","通过"))))))</x:f>
      </x:c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34"/>
      <x:c r="L89" s="22"/>
      <x:c r="M89" s="34"/>
      <x:c r="N89" s="34"/>
      <x:c r="O89" s="22"/>
      <x:c r="P89" s="34"/>
      <x:c r="Q89" s="22"/>
      <x:c r="R89" s="22"/>
      <x:c r="S89" s="22"/>
      <x:c r="T89" s="22"/>
      <x:c r="U89" s="22"/>
      <x:c r="V89" s="28" t="str">
        <x:f>IF(COUNTA(A89:U89)=0,"",IF(OR(A89="",B89="",C89="",D89="",E89="",F89="",G89="",H89="",I89="",Q89="",R89="",T89=""),"不通过：缺少必填项",IF(COUNTIF($B$5:$B$104,B89)&gt;1,"不通过：设备编码重复",IF(COUNTIF($F$5:$F$104,F89)&gt;1,"不通过：序列号重复",IF(AND(I89&lt;&gt;"串口",OR(J89="",K89="")),"不通过：网络连接缺IP或端口",IF(AND(I89="串口",OR(L89="",M89="",N89="",O89="",P89="")),"不通过：串口参数不完整","通过"))))))</x:f>
      </x:c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34"/>
      <x:c r="L90" s="22"/>
      <x:c r="M90" s="34"/>
      <x:c r="N90" s="34"/>
      <x:c r="O90" s="22"/>
      <x:c r="P90" s="34"/>
      <x:c r="Q90" s="22"/>
      <x:c r="R90" s="22"/>
      <x:c r="S90" s="22"/>
      <x:c r="T90" s="22"/>
      <x:c r="U90" s="22"/>
      <x:c r="V90" s="28" t="str">
        <x:f>IF(COUNTA(A90:U90)=0,"",IF(OR(A90="",B90="",C90="",D90="",E90="",F90="",G90="",H90="",I90="",Q90="",R90="",T90=""),"不通过：缺少必填项",IF(COUNTIF($B$5:$B$104,B90)&gt;1,"不通过：设备编码重复",IF(COUNTIF($F$5:$F$104,F90)&gt;1,"不通过：序列号重复",IF(AND(I90&lt;&gt;"串口",OR(J90="",K90="")),"不通过：网络连接缺IP或端口",IF(AND(I90="串口",OR(L90="",M90="",N90="",O90="",P90="")),"不通过：串口参数不完整","通过"))))))</x:f>
      </x:c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34"/>
      <x:c r="L91" s="22"/>
      <x:c r="M91" s="34"/>
      <x:c r="N91" s="34"/>
      <x:c r="O91" s="22"/>
      <x:c r="P91" s="34"/>
      <x:c r="Q91" s="22"/>
      <x:c r="R91" s="22"/>
      <x:c r="S91" s="22"/>
      <x:c r="T91" s="22"/>
      <x:c r="U91" s="22"/>
      <x:c r="V91" s="28" t="str">
        <x:f>IF(COUNTA(A91:U91)=0,"",IF(OR(A91="",B91="",C91="",D91="",E91="",F91="",G91="",H91="",I91="",Q91="",R91="",T91=""),"不通过：缺少必填项",IF(COUNTIF($B$5:$B$104,B91)&gt;1,"不通过：设备编码重复",IF(COUNTIF($F$5:$F$104,F91)&gt;1,"不通过：序列号重复",IF(AND(I91&lt;&gt;"串口",OR(J91="",K91="")),"不通过：网络连接缺IP或端口",IF(AND(I91="串口",OR(L91="",M91="",N91="",O91="",P91="")),"不通过：串口参数不完整","通过"))))))</x:f>
      </x:c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34"/>
      <x:c r="L92" s="22"/>
      <x:c r="M92" s="34"/>
      <x:c r="N92" s="34"/>
      <x:c r="O92" s="22"/>
      <x:c r="P92" s="34"/>
      <x:c r="Q92" s="22"/>
      <x:c r="R92" s="22"/>
      <x:c r="S92" s="22"/>
      <x:c r="T92" s="22"/>
      <x:c r="U92" s="22"/>
      <x:c r="V92" s="28" t="str">
        <x:f>IF(COUNTA(A92:U92)=0,"",IF(OR(A92="",B92="",C92="",D92="",E92="",F92="",G92="",H92="",I92="",Q92="",R92="",T92=""),"不通过：缺少必填项",IF(COUNTIF($B$5:$B$104,B92)&gt;1,"不通过：设备编码重复",IF(COUNTIF($F$5:$F$104,F92)&gt;1,"不通过：序列号重复",IF(AND(I92&lt;&gt;"串口",OR(J92="",K92="")),"不通过：网络连接缺IP或端口",IF(AND(I92="串口",OR(L92="",M92="",N92="",O92="",P92="")),"不通过：串口参数不完整","通过"))))))</x:f>
      </x:c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34"/>
      <x:c r="L93" s="22"/>
      <x:c r="M93" s="34"/>
      <x:c r="N93" s="34"/>
      <x:c r="O93" s="22"/>
      <x:c r="P93" s="34"/>
      <x:c r="Q93" s="22"/>
      <x:c r="R93" s="22"/>
      <x:c r="S93" s="22"/>
      <x:c r="T93" s="22"/>
      <x:c r="U93" s="22"/>
      <x:c r="V93" s="28" t="str">
        <x:f>IF(COUNTA(A93:U93)=0,"",IF(OR(A93="",B93="",C93="",D93="",E93="",F93="",G93="",H93="",I93="",Q93="",R93="",T93=""),"不通过：缺少必填项",IF(COUNTIF($B$5:$B$104,B93)&gt;1,"不通过：设备编码重复",IF(COUNTIF($F$5:$F$104,F93)&gt;1,"不通过：序列号重复",IF(AND(I93&lt;&gt;"串口",OR(J93="",K93="")),"不通过：网络连接缺IP或端口",IF(AND(I93="串口",OR(L93="",M93="",N93="",O93="",P93="")),"不通过：串口参数不完整","通过"))))))</x:f>
      </x:c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34"/>
      <x:c r="L94" s="22"/>
      <x:c r="M94" s="34"/>
      <x:c r="N94" s="34"/>
      <x:c r="O94" s="22"/>
      <x:c r="P94" s="34"/>
      <x:c r="Q94" s="22"/>
      <x:c r="R94" s="22"/>
      <x:c r="S94" s="22"/>
      <x:c r="T94" s="22"/>
      <x:c r="U94" s="22"/>
      <x:c r="V94" s="28" t="str">
        <x:f>IF(COUNTA(A94:U94)=0,"",IF(OR(A94="",B94="",C94="",D94="",E94="",F94="",G94="",H94="",I94="",Q94="",R94="",T94=""),"不通过：缺少必填项",IF(COUNTIF($B$5:$B$104,B94)&gt;1,"不通过：设备编码重复",IF(COUNTIF($F$5:$F$104,F94)&gt;1,"不通过：序列号重复",IF(AND(I94&lt;&gt;"串口",OR(J94="",K94="")),"不通过：网络连接缺IP或端口",IF(AND(I94="串口",OR(L94="",M94="",N94="",O94="",P94="")),"不通过：串口参数不完整","通过"))))))</x:f>
      </x:c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34"/>
      <x:c r="L95" s="22"/>
      <x:c r="M95" s="34"/>
      <x:c r="N95" s="34"/>
      <x:c r="O95" s="22"/>
      <x:c r="P95" s="34"/>
      <x:c r="Q95" s="22"/>
      <x:c r="R95" s="22"/>
      <x:c r="S95" s="22"/>
      <x:c r="T95" s="22"/>
      <x:c r="U95" s="22"/>
      <x:c r="V95" s="28" t="str">
        <x:f>IF(COUNTA(A95:U95)=0,"",IF(OR(A95="",B95="",C95="",D95="",E95="",F95="",G95="",H95="",I95="",Q95="",R95="",T95=""),"不通过：缺少必填项",IF(COUNTIF($B$5:$B$104,B95)&gt;1,"不通过：设备编码重复",IF(COUNTIF($F$5:$F$104,F95)&gt;1,"不通过：序列号重复",IF(AND(I95&lt;&gt;"串口",OR(J95="",K95="")),"不通过：网络连接缺IP或端口",IF(AND(I95="串口",OR(L95="",M95="",N95="",O95="",P95="")),"不通过：串口参数不完整","通过"))))))</x:f>
      </x:c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34"/>
      <x:c r="L96" s="22"/>
      <x:c r="M96" s="34"/>
      <x:c r="N96" s="34"/>
      <x:c r="O96" s="22"/>
      <x:c r="P96" s="34"/>
      <x:c r="Q96" s="22"/>
      <x:c r="R96" s="22"/>
      <x:c r="S96" s="22"/>
      <x:c r="T96" s="22"/>
      <x:c r="U96" s="22"/>
      <x:c r="V96" s="28" t="str">
        <x:f>IF(COUNTA(A96:U96)=0,"",IF(OR(A96="",B96="",C96="",D96="",E96="",F96="",G96="",H96="",I96="",Q96="",R96="",T96=""),"不通过：缺少必填项",IF(COUNTIF($B$5:$B$104,B96)&gt;1,"不通过：设备编码重复",IF(COUNTIF($F$5:$F$104,F96)&gt;1,"不通过：序列号重复",IF(AND(I96&lt;&gt;"串口",OR(J96="",K96="")),"不通过：网络连接缺IP或端口",IF(AND(I96="串口",OR(L96="",M96="",N96="",O96="",P96="")),"不通过：串口参数不完整","通过"))))))</x:f>
      </x:c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34"/>
      <x:c r="L97" s="22"/>
      <x:c r="M97" s="34"/>
      <x:c r="N97" s="34"/>
      <x:c r="O97" s="22"/>
      <x:c r="P97" s="34"/>
      <x:c r="Q97" s="22"/>
      <x:c r="R97" s="22"/>
      <x:c r="S97" s="22"/>
      <x:c r="T97" s="22"/>
      <x:c r="U97" s="22"/>
      <x:c r="V97" s="28" t="str">
        <x:f>IF(COUNTA(A97:U97)=0,"",IF(OR(A97="",B97="",C97="",D97="",E97="",F97="",G97="",H97="",I97="",Q97="",R97="",T97=""),"不通过：缺少必填项",IF(COUNTIF($B$5:$B$104,B97)&gt;1,"不通过：设备编码重复",IF(COUNTIF($F$5:$F$104,F97)&gt;1,"不通过：序列号重复",IF(AND(I97&lt;&gt;"串口",OR(J97="",K97="")),"不通过：网络连接缺IP或端口",IF(AND(I97="串口",OR(L97="",M97="",N97="",O97="",P97="")),"不通过：串口参数不完整","通过"))))))</x:f>
      </x:c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34"/>
      <x:c r="L98" s="22"/>
      <x:c r="M98" s="34"/>
      <x:c r="N98" s="34"/>
      <x:c r="O98" s="22"/>
      <x:c r="P98" s="34"/>
      <x:c r="Q98" s="22"/>
      <x:c r="R98" s="22"/>
      <x:c r="S98" s="22"/>
      <x:c r="T98" s="22"/>
      <x:c r="U98" s="22"/>
      <x:c r="V98" s="28" t="str">
        <x:f>IF(COUNTA(A98:U98)=0,"",IF(OR(A98="",B98="",C98="",D98="",E98="",F98="",G98="",H98="",I98="",Q98="",R98="",T98=""),"不通过：缺少必填项",IF(COUNTIF($B$5:$B$104,B98)&gt;1,"不通过：设备编码重复",IF(COUNTIF($F$5:$F$104,F98)&gt;1,"不通过：序列号重复",IF(AND(I98&lt;&gt;"串口",OR(J98="",K98="")),"不通过：网络连接缺IP或端口",IF(AND(I98="串口",OR(L98="",M98="",N98="",O98="",P98="")),"不通过：串口参数不完整","通过"))))))</x:f>
      </x:c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34"/>
      <x:c r="L99" s="22"/>
      <x:c r="M99" s="34"/>
      <x:c r="N99" s="34"/>
      <x:c r="O99" s="22"/>
      <x:c r="P99" s="34"/>
      <x:c r="Q99" s="22"/>
      <x:c r="R99" s="22"/>
      <x:c r="S99" s="22"/>
      <x:c r="T99" s="22"/>
      <x:c r="U99" s="22"/>
      <x:c r="V99" s="28" t="str">
        <x:f>IF(COUNTA(A99:U99)=0,"",IF(OR(A99="",B99="",C99="",D99="",E99="",F99="",G99="",H99="",I99="",Q99="",R99="",T99=""),"不通过：缺少必填项",IF(COUNTIF($B$5:$B$104,B99)&gt;1,"不通过：设备编码重复",IF(COUNTIF($F$5:$F$104,F99)&gt;1,"不通过：序列号重复",IF(AND(I99&lt;&gt;"串口",OR(J99="",K99="")),"不通过：网络连接缺IP或端口",IF(AND(I99="串口",OR(L99="",M99="",N99="",O99="",P99="")),"不通过：串口参数不完整","通过"))))))</x:f>
      </x:c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34"/>
      <x:c r="L100" s="22"/>
      <x:c r="M100" s="34"/>
      <x:c r="N100" s="34"/>
      <x:c r="O100" s="22"/>
      <x:c r="P100" s="34"/>
      <x:c r="Q100" s="22"/>
      <x:c r="R100" s="22"/>
      <x:c r="S100" s="22"/>
      <x:c r="T100" s="22"/>
      <x:c r="U100" s="22"/>
      <x:c r="V100" s="28" t="str">
        <x:f>IF(COUNTA(A100:U100)=0,"",IF(OR(A100="",B100="",C100="",D100="",E100="",F100="",G100="",H100="",I100="",Q100="",R100="",T100=""),"不通过：缺少必填项",IF(COUNTIF($B$5:$B$104,B100)&gt;1,"不通过：设备编码重复",IF(COUNTIF($F$5:$F$104,F100)&gt;1,"不通过：序列号重复",IF(AND(I100&lt;&gt;"串口",OR(J100="",K100="")),"不通过：网络连接缺IP或端口",IF(AND(I100="串口",OR(L100="",M100="",N100="",O100="",P100="")),"不通过：串口参数不完整","通过"))))))</x:f>
      </x:c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34"/>
      <x:c r="L101" s="22"/>
      <x:c r="M101" s="34"/>
      <x:c r="N101" s="34"/>
      <x:c r="O101" s="22"/>
      <x:c r="P101" s="34"/>
      <x:c r="Q101" s="22"/>
      <x:c r="R101" s="22"/>
      <x:c r="S101" s="22"/>
      <x:c r="T101" s="22"/>
      <x:c r="U101" s="22"/>
      <x:c r="V101" s="28" t="str">
        <x:f>IF(COUNTA(A101:U101)=0,"",IF(OR(A101="",B101="",C101="",D101="",E101="",F101="",G101="",H101="",I101="",Q101="",R101="",T101=""),"不通过：缺少必填项",IF(COUNTIF($B$5:$B$104,B101)&gt;1,"不通过：设备编码重复",IF(COUNTIF($F$5:$F$104,F101)&gt;1,"不通过：序列号重复",IF(AND(I101&lt;&gt;"串口",OR(J101="",K101="")),"不通过：网络连接缺IP或端口",IF(AND(I101="串口",OR(L101="",M101="",N101="",O101="",P101="")),"不通过：串口参数不完整","通过"))))))</x:f>
      </x:c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34"/>
      <x:c r="L102" s="22"/>
      <x:c r="M102" s="34"/>
      <x:c r="N102" s="34"/>
      <x:c r="O102" s="22"/>
      <x:c r="P102" s="34"/>
      <x:c r="Q102" s="22"/>
      <x:c r="R102" s="22"/>
      <x:c r="S102" s="22"/>
      <x:c r="T102" s="22"/>
      <x:c r="U102" s="22"/>
      <x:c r="V102" s="28" t="str">
        <x:f>IF(COUNTA(A102:U102)=0,"",IF(OR(A102="",B102="",C102="",D102="",E102="",F102="",G102="",H102="",I102="",Q102="",R102="",T102=""),"不通过：缺少必填项",IF(COUNTIF($B$5:$B$104,B102)&gt;1,"不通过：设备编码重复",IF(COUNTIF($F$5:$F$104,F102)&gt;1,"不通过：序列号重复",IF(AND(I102&lt;&gt;"串口",OR(J102="",K102="")),"不通过：网络连接缺IP或端口",IF(AND(I102="串口",OR(L102="",M102="",N102="",O102="",P102="")),"不通过：串口参数不完整","通过"))))))</x:f>
      </x:c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34"/>
      <x:c r="L103" s="22"/>
      <x:c r="M103" s="34"/>
      <x:c r="N103" s="34"/>
      <x:c r="O103" s="22"/>
      <x:c r="P103" s="34"/>
      <x:c r="Q103" s="22"/>
      <x:c r="R103" s="22"/>
      <x:c r="S103" s="22"/>
      <x:c r="T103" s="22"/>
      <x:c r="U103" s="22"/>
      <x:c r="V103" s="28" t="str">
        <x:f>IF(COUNTA(A103:U103)=0,"",IF(OR(A103="",B103="",C103="",D103="",E103="",F103="",G103="",H103="",I103="",Q103="",R103="",T103=""),"不通过：缺少必填项",IF(COUNTIF($B$5:$B$104,B103)&gt;1,"不通过：设备编码重复",IF(COUNTIF($F$5:$F$104,F103)&gt;1,"不通过：序列号重复",IF(AND(I103&lt;&gt;"串口",OR(J103="",K103="")),"不通过：网络连接缺IP或端口",IF(AND(I103="串口",OR(L103="",M103="",N103="",O103="",P103="")),"不通过：串口参数不完整","通过"))))))</x:f>
      </x:c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35"/>
      <x:c r="L104" s="23"/>
      <x:c r="M104" s="35"/>
      <x:c r="N104" s="35"/>
      <x:c r="O104" s="23"/>
      <x:c r="P104" s="35"/>
      <x:c r="Q104" s="23"/>
      <x:c r="R104" s="23"/>
      <x:c r="S104" s="23"/>
      <x:c r="T104" s="23"/>
      <x:c r="U104" s="23"/>
      <x:c r="V104" s="29" t="str">
        <x:f>IF(COUNTA(A104:U104)=0,"",IF(OR(A104="",B104="",C104="",D104="",E104="",F104="",G104="",H104="",I104="",Q104="",R104="",T104=""),"不通过：缺少必填项",IF(COUNTIF($B$5:$B$104,B104)&gt;1,"不通过：设备编码重复",IF(COUNTIF($F$5:$F$104,F104)&gt;1,"不通过：序列号重复",IF(AND(I104&lt;&gt;"串口",OR(J104="",K104="")),"不通过：网络连接缺IP或端口",IF(AND(I104="串口",OR(L104="",M104="",N104="",O104="",P104="")),"不通过：串口参数不完整","通过"))))))</x:f>
      </x:c>
    </x:row>
  </x:sheetData>
  <x:mergeCells>
    <x:mergeCell ref="A1:V1"/>
    <x:mergeCell ref="A2:V2"/>
  </x:mergeCells>
  <x:conditionalFormatting sqref="V5:V104">
    <x:cfRule type="beginsWith" dxfId="18" priority="1" operator="beginsWith" text="不通过"/>
    <x:cfRule type="cellIs" dxfId="19" priority="2" operator="equal">
      <x:formula>"通过"</x:formula>
    </x:cfRule>
  </x:conditionalFormatting>
  <x:dataValidations count="7">
    <x:dataValidation type="list" sqref="A5:A104">
      <x:formula1>"新增,修改,停用"</x:formula1>
    </x:dataValidation>
    <x:dataValidation type="list" sqref="H5:H104">
      <x:formula1>"ASTM,HL7,文件,厂商私有协议"</x:formula1>
    </x:dataValidation>
    <x:dataValidation type="list" sqref="I5:I104">
      <x:formula1>"TCP客户端,TCP服务端,串口,共享目录"</x:formula1>
    </x:dataValidation>
    <x:dataValidation type="list" sqref="O5:O104">
      <x:formula1>"无,奇,偶"</x:formula1>
    </x:dataValidation>
    <x:dataValidation type="list" sqref="Q5:Q104">
      <x:formula1>"是,否"</x:formula1>
    </x:dataValidation>
    <x:dataValidation type="list" sqref="R5:R104">
      <x:formula1>"启用,停用"</x:formula1>
    </x:dataValidation>
    <x:dataValidation type="list" sqref="T5:T104">
      <x:formula1>"待资料,待联调,联调中,已验收,停用"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8" hidden="0" customWidth="1"/>
    <x:col min="8" max="8" width="16" hidden="0" customWidth="1"/>
    <x:col min="9" max="9" width="10" hidden="0" customWidth="1"/>
    <x:col min="10" max="10" width="16" hidden="0" customWidth="1"/>
    <x:col min="11" max="11" width="12" hidden="0" customWidth="1"/>
    <x:col min="12" max="12" width="18" hidden="0" customWidth="1"/>
    <x:col min="13" max="13" width="15" hidden="0" customWidth="1"/>
    <x:col min="14" max="14" width="28" hidden="0" customWidth="1"/>
    <x:col min="15" max="15" width="34" hidden="0" customWidth="1"/>
  </x:cols>
  <x:sheetData>
    <x:row r="1" ht="32" customHeight="1">
      <x:c r="A1" s="3" t="str">
        <x:v>设备项目码、LIS项目与单位映射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2" customHeight="1">
      <x:c r="A2" s="7" t="str">
        <x:v>每台设备逐项目建立映射。厂商项目码未知、LIS项目不存在、单位不一致或精度未确认时必须阻断自动入库，不能按名称模糊匹配。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2" customHeight="1">
      <x:c r="A4" s="12" t="str">
        <x:v>数据状态*</x:v>
      </x:c>
      <x:c r="B4" s="12" t="str">
        <x:v>设备编码*</x:v>
      </x:c>
      <x:c r="C4" s="12" t="str">
        <x:v>厂商项目码*</x:v>
      </x:c>
      <x:c r="D4" s="12" t="str">
        <x:v>厂商项目名称</x:v>
      </x:c>
      <x:c r="E4" s="12" t="str">
        <x:v>LIS项目编码*</x:v>
      </x:c>
      <x:c r="F4" s="12" t="str">
        <x:v>厂商单位*</x:v>
      </x:c>
      <x:c r="G4" s="12" t="str">
        <x:v>LIS单位编码*</x:v>
      </x:c>
      <x:c r="H4" s="12" t="str">
        <x:v>结果类型*</x:v>
      </x:c>
      <x:c r="I4" s="12" t="str">
        <x:v>小数位</x:v>
      </x:c>
      <x:c r="J4" s="12" t="str">
        <x:v>质控结果标识*</x:v>
      </x:c>
      <x:c r="K4" s="12" t="str">
        <x:v>启用状态*</x:v>
      </x:c>
      <x:c r="L4" s="12" t="str">
        <x:v>验收人*</x:v>
      </x:c>
      <x:c r="M4" s="12" t="str">
        <x:v>验收日期*</x:v>
      </x:c>
      <x:c r="N4" s="12" t="str">
        <x:v>备注</x:v>
      </x:c>
      <x:c r="O4" s="12" t="str">
        <x:v>校验结果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33"/>
      <x:c r="J5" s="21"/>
      <x:c r="K5" s="21"/>
      <x:c r="L5" s="21"/>
      <x:c r="M5" s="30"/>
      <x:c r="N5" s="21"/>
      <x:c r="O5" s="27" t="str">
        <x:f>IF(COUNTA(A5:N5)=0,"",IF(OR(A5="",B5="",C5="",E5="",F5="",G5="",H5="",J5="",K5="",L5="",M5=""),"不通过：缺少必填项",IF(COUNTIFS($B$5:$B$104,B5,$C$5:$C$104,C5)&gt;1,"不通过：设备项目码重复",IF(COUNTIF('设备台账'!$B$5:$B$104,B5)=0,"不通过：设备编码不存在",IF(COUNTIF('检验项目'!$B$5:$B$104,E5)=0,"不通过：LIS项目不存在",IF(AND(H5="数值",I5=""),"不通过：数值项目缺小数位","通过"))))))</x:f>
      </x:c>
    </x:row>
    <x:row r="6">
      <x:c r="A6" s="22"/>
      <x:c r="B6" s="22"/>
      <x:c r="C6" s="22"/>
      <x:c r="D6" s="22"/>
      <x:c r="E6" s="22"/>
      <x:c r="F6" s="22"/>
      <x:c r="G6" s="22"/>
      <x:c r="H6" s="22"/>
      <x:c r="I6" s="34"/>
      <x:c r="J6" s="22"/>
      <x:c r="K6" s="22"/>
      <x:c r="L6" s="22"/>
      <x:c r="M6" s="31"/>
      <x:c r="N6" s="22"/>
      <x:c r="O6" s="28" t="str">
        <x:f>IF(COUNTA(A6:N6)=0,"",IF(OR(A6="",B6="",C6="",E6="",F6="",G6="",H6="",J6="",K6="",L6="",M6=""),"不通过：缺少必填项",IF(COUNTIFS($B$5:$B$104,B6,$C$5:$C$104,C6)&gt;1,"不通过：设备项目码重复",IF(COUNTIF('设备台账'!$B$5:$B$104,B6)=0,"不通过：设备编码不存在",IF(COUNTIF('检验项目'!$B$5:$B$104,E6)=0,"不通过：LIS项目不存在",IF(AND(H6="数值",I6=""),"不通过：数值项目缺小数位","通过"))))))</x:f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34"/>
      <x:c r="J7" s="22"/>
      <x:c r="K7" s="22"/>
      <x:c r="L7" s="22"/>
      <x:c r="M7" s="31"/>
      <x:c r="N7" s="22"/>
      <x:c r="O7" s="28" t="str">
        <x:f>IF(COUNTA(A7:N7)=0,"",IF(OR(A7="",B7="",C7="",E7="",F7="",G7="",H7="",J7="",K7="",L7="",M7=""),"不通过：缺少必填项",IF(COUNTIFS($B$5:$B$104,B7,$C$5:$C$104,C7)&gt;1,"不通过：设备项目码重复",IF(COUNTIF('设备台账'!$B$5:$B$104,B7)=0,"不通过：设备编码不存在",IF(COUNTIF('检验项目'!$B$5:$B$104,E7)=0,"不通过：LIS项目不存在",IF(AND(H7="数值",I7=""),"不通过：数值项目缺小数位","通过"))))))</x:f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34"/>
      <x:c r="J8" s="22"/>
      <x:c r="K8" s="22"/>
      <x:c r="L8" s="22"/>
      <x:c r="M8" s="31"/>
      <x:c r="N8" s="22"/>
      <x:c r="O8" s="28" t="str">
        <x:f>IF(COUNTA(A8:N8)=0,"",IF(OR(A8="",B8="",C8="",E8="",F8="",G8="",H8="",J8="",K8="",L8="",M8=""),"不通过：缺少必填项",IF(COUNTIFS($B$5:$B$104,B8,$C$5:$C$104,C8)&gt;1,"不通过：设备项目码重复",IF(COUNTIF('设备台账'!$B$5:$B$104,B8)=0,"不通过：设备编码不存在",IF(COUNTIF('检验项目'!$B$5:$B$104,E8)=0,"不通过：LIS项目不存在",IF(AND(H8="数值",I8=""),"不通过：数值项目缺小数位","通过"))))))</x:f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34"/>
      <x:c r="J9" s="22"/>
      <x:c r="K9" s="22"/>
      <x:c r="L9" s="22"/>
      <x:c r="M9" s="31"/>
      <x:c r="N9" s="22"/>
      <x:c r="O9" s="28" t="str">
        <x:f>IF(COUNTA(A9:N9)=0,"",IF(OR(A9="",B9="",C9="",E9="",F9="",G9="",H9="",J9="",K9="",L9="",M9=""),"不通过：缺少必填项",IF(COUNTIFS($B$5:$B$104,B9,$C$5:$C$104,C9)&gt;1,"不通过：设备项目码重复",IF(COUNTIF('设备台账'!$B$5:$B$104,B9)=0,"不通过：设备编码不存在",IF(COUNTIF('检验项目'!$B$5:$B$104,E9)=0,"不通过：LIS项目不存在",IF(AND(H9="数值",I9=""),"不通过：数值项目缺小数位","通过"))))))</x:f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34"/>
      <x:c r="J10" s="22"/>
      <x:c r="K10" s="22"/>
      <x:c r="L10" s="22"/>
      <x:c r="M10" s="31"/>
      <x:c r="N10" s="22"/>
      <x:c r="O10" s="28" t="str">
        <x:f>IF(COUNTA(A10:N10)=0,"",IF(OR(A10="",B10="",C10="",E10="",F10="",G10="",H10="",J10="",K10="",L10="",M10=""),"不通过：缺少必填项",IF(COUNTIFS($B$5:$B$104,B10,$C$5:$C$104,C10)&gt;1,"不通过：设备项目码重复",IF(COUNTIF('设备台账'!$B$5:$B$104,B10)=0,"不通过：设备编码不存在",IF(COUNTIF('检验项目'!$B$5:$B$104,E10)=0,"不通过：LIS项目不存在",IF(AND(H10="数值",I10=""),"不通过：数值项目缺小数位","通过"))))))</x:f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34"/>
      <x:c r="J11" s="22"/>
      <x:c r="K11" s="22"/>
      <x:c r="L11" s="22"/>
      <x:c r="M11" s="31"/>
      <x:c r="N11" s="22"/>
      <x:c r="O11" s="28" t="str">
        <x:f>IF(COUNTA(A11:N11)=0,"",IF(OR(A11="",B11="",C11="",E11="",F11="",G11="",H11="",J11="",K11="",L11="",M11=""),"不通过：缺少必填项",IF(COUNTIFS($B$5:$B$104,B11,$C$5:$C$104,C11)&gt;1,"不通过：设备项目码重复",IF(COUNTIF('设备台账'!$B$5:$B$104,B11)=0,"不通过：设备编码不存在",IF(COUNTIF('检验项目'!$B$5:$B$104,E11)=0,"不通过：LIS项目不存在",IF(AND(H11="数值",I11=""),"不通过：数值项目缺小数位","通过"))))))</x:f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34"/>
      <x:c r="J12" s="22"/>
      <x:c r="K12" s="22"/>
      <x:c r="L12" s="22"/>
      <x:c r="M12" s="31"/>
      <x:c r="N12" s="22"/>
      <x:c r="O12" s="28" t="str">
        <x:f>IF(COUNTA(A12:N12)=0,"",IF(OR(A12="",B12="",C12="",E12="",F12="",G12="",H12="",J12="",K12="",L12="",M12=""),"不通过：缺少必填项",IF(COUNTIFS($B$5:$B$104,B12,$C$5:$C$104,C12)&gt;1,"不通过：设备项目码重复",IF(COUNTIF('设备台账'!$B$5:$B$104,B12)=0,"不通过：设备编码不存在",IF(COUNTIF('检验项目'!$B$5:$B$104,E12)=0,"不通过：LIS项目不存在",IF(AND(H12="数值",I12=""),"不通过：数值项目缺小数位","通过"))))))</x:f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34"/>
      <x:c r="J13" s="22"/>
      <x:c r="K13" s="22"/>
      <x:c r="L13" s="22"/>
      <x:c r="M13" s="31"/>
      <x:c r="N13" s="22"/>
      <x:c r="O13" s="28" t="str">
        <x:f>IF(COUNTA(A13:N13)=0,"",IF(OR(A13="",B13="",C13="",E13="",F13="",G13="",H13="",J13="",K13="",L13="",M13=""),"不通过：缺少必填项",IF(COUNTIFS($B$5:$B$104,B13,$C$5:$C$104,C13)&gt;1,"不通过：设备项目码重复",IF(COUNTIF('设备台账'!$B$5:$B$104,B13)=0,"不通过：设备编码不存在",IF(COUNTIF('检验项目'!$B$5:$B$104,E13)=0,"不通过：LIS项目不存在",IF(AND(H13="数值",I13=""),"不通过：数值项目缺小数位","通过"))))))</x:f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34"/>
      <x:c r="J14" s="22"/>
      <x:c r="K14" s="22"/>
      <x:c r="L14" s="22"/>
      <x:c r="M14" s="31"/>
      <x:c r="N14" s="22"/>
      <x:c r="O14" s="28" t="str">
        <x:f>IF(COUNTA(A14:N14)=0,"",IF(OR(A14="",B14="",C14="",E14="",F14="",G14="",H14="",J14="",K14="",L14="",M14=""),"不通过：缺少必填项",IF(COUNTIFS($B$5:$B$104,B14,$C$5:$C$104,C14)&gt;1,"不通过：设备项目码重复",IF(COUNTIF('设备台账'!$B$5:$B$104,B14)=0,"不通过：设备编码不存在",IF(COUNTIF('检验项目'!$B$5:$B$104,E14)=0,"不通过：LIS项目不存在",IF(AND(H14="数值",I14=""),"不通过：数值项目缺小数位","通过"))))))</x:f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34"/>
      <x:c r="J15" s="22"/>
      <x:c r="K15" s="22"/>
      <x:c r="L15" s="22"/>
      <x:c r="M15" s="31"/>
      <x:c r="N15" s="22"/>
      <x:c r="O15" s="28" t="str">
        <x:f>IF(COUNTA(A15:N15)=0,"",IF(OR(A15="",B15="",C15="",E15="",F15="",G15="",H15="",J15="",K15="",L15="",M15=""),"不通过：缺少必填项",IF(COUNTIFS($B$5:$B$104,B15,$C$5:$C$104,C15)&gt;1,"不通过：设备项目码重复",IF(COUNTIF('设备台账'!$B$5:$B$104,B15)=0,"不通过：设备编码不存在",IF(COUNTIF('检验项目'!$B$5:$B$104,E15)=0,"不通过：LIS项目不存在",IF(AND(H15="数值",I15=""),"不通过：数值项目缺小数位","通过"))))))</x:f>
      </x:c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34"/>
      <x:c r="J16" s="22"/>
      <x:c r="K16" s="22"/>
      <x:c r="L16" s="22"/>
      <x:c r="M16" s="31"/>
      <x:c r="N16" s="22"/>
      <x:c r="O16" s="28" t="str">
        <x:f>IF(COUNTA(A16:N16)=0,"",IF(OR(A16="",B16="",C16="",E16="",F16="",G16="",H16="",J16="",K16="",L16="",M16=""),"不通过：缺少必填项",IF(COUNTIFS($B$5:$B$104,B16,$C$5:$C$104,C16)&gt;1,"不通过：设备项目码重复",IF(COUNTIF('设备台账'!$B$5:$B$104,B16)=0,"不通过：设备编码不存在",IF(COUNTIF('检验项目'!$B$5:$B$104,E16)=0,"不通过：LIS项目不存在",IF(AND(H16="数值",I16=""),"不通过：数值项目缺小数位","通过"))))))</x:f>
      </x:c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34"/>
      <x:c r="J17" s="22"/>
      <x:c r="K17" s="22"/>
      <x:c r="L17" s="22"/>
      <x:c r="M17" s="31"/>
      <x:c r="N17" s="22"/>
      <x:c r="O17" s="28" t="str">
        <x:f>IF(COUNTA(A17:N17)=0,"",IF(OR(A17="",B17="",C17="",E17="",F17="",G17="",H17="",J17="",K17="",L17="",M17=""),"不通过：缺少必填项",IF(COUNTIFS($B$5:$B$104,B17,$C$5:$C$104,C17)&gt;1,"不通过：设备项目码重复",IF(COUNTIF('设备台账'!$B$5:$B$104,B17)=0,"不通过：设备编码不存在",IF(COUNTIF('检验项目'!$B$5:$B$104,E17)=0,"不通过：LIS项目不存在",IF(AND(H17="数值",I17=""),"不通过：数值项目缺小数位","通过"))))))</x:f>
      </x:c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34"/>
      <x:c r="J18" s="22"/>
      <x:c r="K18" s="22"/>
      <x:c r="L18" s="22"/>
      <x:c r="M18" s="31"/>
      <x:c r="N18" s="22"/>
      <x:c r="O18" s="28" t="str">
        <x:f>IF(COUNTA(A18:N18)=0,"",IF(OR(A18="",B18="",C18="",E18="",F18="",G18="",H18="",J18="",K18="",L18="",M18=""),"不通过：缺少必填项",IF(COUNTIFS($B$5:$B$104,B18,$C$5:$C$104,C18)&gt;1,"不通过：设备项目码重复",IF(COUNTIF('设备台账'!$B$5:$B$104,B18)=0,"不通过：设备编码不存在",IF(COUNTIF('检验项目'!$B$5:$B$104,E18)=0,"不通过：LIS项目不存在",IF(AND(H18="数值",I18=""),"不通过：数值项目缺小数位","通过"))))))</x:f>
      </x:c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34"/>
      <x:c r="J19" s="22"/>
      <x:c r="K19" s="22"/>
      <x:c r="L19" s="22"/>
      <x:c r="M19" s="31"/>
      <x:c r="N19" s="22"/>
      <x:c r="O19" s="28" t="str">
        <x:f>IF(COUNTA(A19:N19)=0,"",IF(OR(A19="",B19="",C19="",E19="",F19="",G19="",H19="",J19="",K19="",L19="",M19=""),"不通过：缺少必填项",IF(COUNTIFS($B$5:$B$104,B19,$C$5:$C$104,C19)&gt;1,"不通过：设备项目码重复",IF(COUNTIF('设备台账'!$B$5:$B$104,B19)=0,"不通过：设备编码不存在",IF(COUNTIF('检验项目'!$B$5:$B$104,E19)=0,"不通过：LIS项目不存在",IF(AND(H19="数值",I19=""),"不通过：数值项目缺小数位","通过"))))))</x:f>
      </x:c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34"/>
      <x:c r="J20" s="22"/>
      <x:c r="K20" s="22"/>
      <x:c r="L20" s="22"/>
      <x:c r="M20" s="31"/>
      <x:c r="N20" s="22"/>
      <x:c r="O20" s="28" t="str">
        <x:f>IF(COUNTA(A20:N20)=0,"",IF(OR(A20="",B20="",C20="",E20="",F20="",G20="",H20="",J20="",K20="",L20="",M20=""),"不通过：缺少必填项",IF(COUNTIFS($B$5:$B$104,B20,$C$5:$C$104,C20)&gt;1,"不通过：设备项目码重复",IF(COUNTIF('设备台账'!$B$5:$B$104,B20)=0,"不通过：设备编码不存在",IF(COUNTIF('检验项目'!$B$5:$B$104,E20)=0,"不通过：LIS项目不存在",IF(AND(H20="数值",I20=""),"不通过：数值项目缺小数位","通过"))))))</x:f>
      </x:c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34"/>
      <x:c r="J21" s="22"/>
      <x:c r="K21" s="22"/>
      <x:c r="L21" s="22"/>
      <x:c r="M21" s="31"/>
      <x:c r="N21" s="22"/>
      <x:c r="O21" s="28" t="str">
        <x:f>IF(COUNTA(A21:N21)=0,"",IF(OR(A21="",B21="",C21="",E21="",F21="",G21="",H21="",J21="",K21="",L21="",M21=""),"不通过：缺少必填项",IF(COUNTIFS($B$5:$B$104,B21,$C$5:$C$104,C21)&gt;1,"不通过：设备项目码重复",IF(COUNTIF('设备台账'!$B$5:$B$104,B21)=0,"不通过：设备编码不存在",IF(COUNTIF('检验项目'!$B$5:$B$104,E21)=0,"不通过：LIS项目不存在",IF(AND(H21="数值",I21=""),"不通过：数值项目缺小数位","通过"))))))</x:f>
      </x:c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34"/>
      <x:c r="J22" s="22"/>
      <x:c r="K22" s="22"/>
      <x:c r="L22" s="22"/>
      <x:c r="M22" s="31"/>
      <x:c r="N22" s="22"/>
      <x:c r="O22" s="28" t="str">
        <x:f>IF(COUNTA(A22:N22)=0,"",IF(OR(A22="",B22="",C22="",E22="",F22="",G22="",H22="",J22="",K22="",L22="",M22=""),"不通过：缺少必填项",IF(COUNTIFS($B$5:$B$104,B22,$C$5:$C$104,C22)&gt;1,"不通过：设备项目码重复",IF(COUNTIF('设备台账'!$B$5:$B$104,B22)=0,"不通过：设备编码不存在",IF(COUNTIF('检验项目'!$B$5:$B$104,E22)=0,"不通过：LIS项目不存在",IF(AND(H22="数值",I22=""),"不通过：数值项目缺小数位","通过"))))))</x:f>
      </x:c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34"/>
      <x:c r="J23" s="22"/>
      <x:c r="K23" s="22"/>
      <x:c r="L23" s="22"/>
      <x:c r="M23" s="31"/>
      <x:c r="N23" s="22"/>
      <x:c r="O23" s="28" t="str">
        <x:f>IF(COUNTA(A23:N23)=0,"",IF(OR(A23="",B23="",C23="",E23="",F23="",G23="",H23="",J23="",K23="",L23="",M23=""),"不通过：缺少必填项",IF(COUNTIFS($B$5:$B$104,B23,$C$5:$C$104,C23)&gt;1,"不通过：设备项目码重复",IF(COUNTIF('设备台账'!$B$5:$B$104,B23)=0,"不通过：设备编码不存在",IF(COUNTIF('检验项目'!$B$5:$B$104,E23)=0,"不通过：LIS项目不存在",IF(AND(H23="数值",I23=""),"不通过：数值项目缺小数位","通过"))))))</x:f>
      </x:c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34"/>
      <x:c r="J24" s="22"/>
      <x:c r="K24" s="22"/>
      <x:c r="L24" s="22"/>
      <x:c r="M24" s="31"/>
      <x:c r="N24" s="22"/>
      <x:c r="O24" s="28" t="str">
        <x:f>IF(COUNTA(A24:N24)=0,"",IF(OR(A24="",B24="",C24="",E24="",F24="",G24="",H24="",J24="",K24="",L24="",M24=""),"不通过：缺少必填项",IF(COUNTIFS($B$5:$B$104,B24,$C$5:$C$104,C24)&gt;1,"不通过：设备项目码重复",IF(COUNTIF('设备台账'!$B$5:$B$104,B24)=0,"不通过：设备编码不存在",IF(COUNTIF('检验项目'!$B$5:$B$104,E24)=0,"不通过：LIS项目不存在",IF(AND(H24="数值",I24=""),"不通过：数值项目缺小数位","通过"))))))</x:f>
      </x:c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34"/>
      <x:c r="J25" s="22"/>
      <x:c r="K25" s="22"/>
      <x:c r="L25" s="22"/>
      <x:c r="M25" s="31"/>
      <x:c r="N25" s="22"/>
      <x:c r="O25" s="28" t="str">
        <x:f>IF(COUNTA(A25:N25)=0,"",IF(OR(A25="",B25="",C25="",E25="",F25="",G25="",H25="",J25="",K25="",L25="",M25=""),"不通过：缺少必填项",IF(COUNTIFS($B$5:$B$104,B25,$C$5:$C$104,C25)&gt;1,"不通过：设备项目码重复",IF(COUNTIF('设备台账'!$B$5:$B$104,B25)=0,"不通过：设备编码不存在",IF(COUNTIF('检验项目'!$B$5:$B$104,E25)=0,"不通过：LIS项目不存在",IF(AND(H25="数值",I25=""),"不通过：数值项目缺小数位","通过"))))))</x:f>
      </x:c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34"/>
      <x:c r="J26" s="22"/>
      <x:c r="K26" s="22"/>
      <x:c r="L26" s="22"/>
      <x:c r="M26" s="31"/>
      <x:c r="N26" s="22"/>
      <x:c r="O26" s="28" t="str">
        <x:f>IF(COUNTA(A26:N26)=0,"",IF(OR(A26="",B26="",C26="",E26="",F26="",G26="",H26="",J26="",K26="",L26="",M26=""),"不通过：缺少必填项",IF(COUNTIFS($B$5:$B$104,B26,$C$5:$C$104,C26)&gt;1,"不通过：设备项目码重复",IF(COUNTIF('设备台账'!$B$5:$B$104,B26)=0,"不通过：设备编码不存在",IF(COUNTIF('检验项目'!$B$5:$B$104,E26)=0,"不通过：LIS项目不存在",IF(AND(H26="数值",I26=""),"不通过：数值项目缺小数位","通过"))))))</x:f>
      </x:c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34"/>
      <x:c r="J27" s="22"/>
      <x:c r="K27" s="22"/>
      <x:c r="L27" s="22"/>
      <x:c r="M27" s="31"/>
      <x:c r="N27" s="22"/>
      <x:c r="O27" s="28" t="str">
        <x:f>IF(COUNTA(A27:N27)=0,"",IF(OR(A27="",B27="",C27="",E27="",F27="",G27="",H27="",J27="",K27="",L27="",M27=""),"不通过：缺少必填项",IF(COUNTIFS($B$5:$B$104,B27,$C$5:$C$104,C27)&gt;1,"不通过：设备项目码重复",IF(COUNTIF('设备台账'!$B$5:$B$104,B27)=0,"不通过：设备编码不存在",IF(COUNTIF('检验项目'!$B$5:$B$104,E27)=0,"不通过：LIS项目不存在",IF(AND(H27="数值",I27=""),"不通过：数值项目缺小数位","通过"))))))</x:f>
      </x:c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34"/>
      <x:c r="J28" s="22"/>
      <x:c r="K28" s="22"/>
      <x:c r="L28" s="22"/>
      <x:c r="M28" s="31"/>
      <x:c r="N28" s="22"/>
      <x:c r="O28" s="28" t="str">
        <x:f>IF(COUNTA(A28:N28)=0,"",IF(OR(A28="",B28="",C28="",E28="",F28="",G28="",H28="",J28="",K28="",L28="",M28=""),"不通过：缺少必填项",IF(COUNTIFS($B$5:$B$104,B28,$C$5:$C$104,C28)&gt;1,"不通过：设备项目码重复",IF(COUNTIF('设备台账'!$B$5:$B$104,B28)=0,"不通过：设备编码不存在",IF(COUNTIF('检验项目'!$B$5:$B$104,E28)=0,"不通过：LIS项目不存在",IF(AND(H28="数值",I28=""),"不通过：数值项目缺小数位","通过"))))))</x:f>
      </x:c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34"/>
      <x:c r="J29" s="22"/>
      <x:c r="K29" s="22"/>
      <x:c r="L29" s="22"/>
      <x:c r="M29" s="31"/>
      <x:c r="N29" s="22"/>
      <x:c r="O29" s="28" t="str">
        <x:f>IF(COUNTA(A29:N29)=0,"",IF(OR(A29="",B29="",C29="",E29="",F29="",G29="",H29="",J29="",K29="",L29="",M29=""),"不通过：缺少必填项",IF(COUNTIFS($B$5:$B$104,B29,$C$5:$C$104,C29)&gt;1,"不通过：设备项目码重复",IF(COUNTIF('设备台账'!$B$5:$B$104,B29)=0,"不通过：设备编码不存在",IF(COUNTIF('检验项目'!$B$5:$B$104,E29)=0,"不通过：LIS项目不存在",IF(AND(H29="数值",I29=""),"不通过：数值项目缺小数位","通过"))))))</x:f>
      </x:c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34"/>
      <x:c r="J30" s="22"/>
      <x:c r="K30" s="22"/>
      <x:c r="L30" s="22"/>
      <x:c r="M30" s="31"/>
      <x:c r="N30" s="22"/>
      <x:c r="O30" s="28" t="str">
        <x:f>IF(COUNTA(A30:N30)=0,"",IF(OR(A30="",B30="",C30="",E30="",F30="",G30="",H30="",J30="",K30="",L30="",M30=""),"不通过：缺少必填项",IF(COUNTIFS($B$5:$B$104,B30,$C$5:$C$104,C30)&gt;1,"不通过：设备项目码重复",IF(COUNTIF('设备台账'!$B$5:$B$104,B30)=0,"不通过：设备编码不存在",IF(COUNTIF('检验项目'!$B$5:$B$104,E30)=0,"不通过：LIS项目不存在",IF(AND(H30="数值",I30=""),"不通过：数值项目缺小数位","通过"))))))</x:f>
      </x:c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34"/>
      <x:c r="J31" s="22"/>
      <x:c r="K31" s="22"/>
      <x:c r="L31" s="22"/>
      <x:c r="M31" s="31"/>
      <x:c r="N31" s="22"/>
      <x:c r="O31" s="28" t="str">
        <x:f>IF(COUNTA(A31:N31)=0,"",IF(OR(A31="",B31="",C31="",E31="",F31="",G31="",H31="",J31="",K31="",L31="",M31=""),"不通过：缺少必填项",IF(COUNTIFS($B$5:$B$104,B31,$C$5:$C$104,C31)&gt;1,"不通过：设备项目码重复",IF(COUNTIF('设备台账'!$B$5:$B$104,B31)=0,"不通过：设备编码不存在",IF(COUNTIF('检验项目'!$B$5:$B$104,E31)=0,"不通过：LIS项目不存在",IF(AND(H31="数值",I31=""),"不通过：数值项目缺小数位","通过"))))))</x:f>
      </x:c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34"/>
      <x:c r="J32" s="22"/>
      <x:c r="K32" s="22"/>
      <x:c r="L32" s="22"/>
      <x:c r="M32" s="31"/>
      <x:c r="N32" s="22"/>
      <x:c r="O32" s="28" t="str">
        <x:f>IF(COUNTA(A32:N32)=0,"",IF(OR(A32="",B32="",C32="",E32="",F32="",G32="",H32="",J32="",K32="",L32="",M32=""),"不通过：缺少必填项",IF(COUNTIFS($B$5:$B$104,B32,$C$5:$C$104,C32)&gt;1,"不通过：设备项目码重复",IF(COUNTIF('设备台账'!$B$5:$B$104,B32)=0,"不通过：设备编码不存在",IF(COUNTIF('检验项目'!$B$5:$B$104,E32)=0,"不通过：LIS项目不存在",IF(AND(H32="数值",I32=""),"不通过：数值项目缺小数位","通过"))))))</x:f>
      </x:c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34"/>
      <x:c r="J33" s="22"/>
      <x:c r="K33" s="22"/>
      <x:c r="L33" s="22"/>
      <x:c r="M33" s="31"/>
      <x:c r="N33" s="22"/>
      <x:c r="O33" s="28" t="str">
        <x:f>IF(COUNTA(A33:N33)=0,"",IF(OR(A33="",B33="",C33="",E33="",F33="",G33="",H33="",J33="",K33="",L33="",M33=""),"不通过：缺少必填项",IF(COUNTIFS($B$5:$B$104,B33,$C$5:$C$104,C33)&gt;1,"不通过：设备项目码重复",IF(COUNTIF('设备台账'!$B$5:$B$104,B33)=0,"不通过：设备编码不存在",IF(COUNTIF('检验项目'!$B$5:$B$104,E33)=0,"不通过：LIS项目不存在",IF(AND(H33="数值",I33=""),"不通过：数值项目缺小数位","通过"))))))</x:f>
      </x:c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34"/>
      <x:c r="J34" s="22"/>
      <x:c r="K34" s="22"/>
      <x:c r="L34" s="22"/>
      <x:c r="M34" s="31"/>
      <x:c r="N34" s="22"/>
      <x:c r="O34" s="28" t="str">
        <x:f>IF(COUNTA(A34:N34)=0,"",IF(OR(A34="",B34="",C34="",E34="",F34="",G34="",H34="",J34="",K34="",L34="",M34=""),"不通过：缺少必填项",IF(COUNTIFS($B$5:$B$104,B34,$C$5:$C$104,C34)&gt;1,"不通过：设备项目码重复",IF(COUNTIF('设备台账'!$B$5:$B$104,B34)=0,"不通过：设备编码不存在",IF(COUNTIF('检验项目'!$B$5:$B$104,E34)=0,"不通过：LIS项目不存在",IF(AND(H34="数值",I34=""),"不通过：数值项目缺小数位","通过"))))))</x:f>
      </x:c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34"/>
      <x:c r="J35" s="22"/>
      <x:c r="K35" s="22"/>
      <x:c r="L35" s="22"/>
      <x:c r="M35" s="31"/>
      <x:c r="N35" s="22"/>
      <x:c r="O35" s="28" t="str">
        <x:f>IF(COUNTA(A35:N35)=0,"",IF(OR(A35="",B35="",C35="",E35="",F35="",G35="",H35="",J35="",K35="",L35="",M35=""),"不通过：缺少必填项",IF(COUNTIFS($B$5:$B$104,B35,$C$5:$C$104,C35)&gt;1,"不通过：设备项目码重复",IF(COUNTIF('设备台账'!$B$5:$B$104,B35)=0,"不通过：设备编码不存在",IF(COUNTIF('检验项目'!$B$5:$B$104,E35)=0,"不通过：LIS项目不存在",IF(AND(H35="数值",I35=""),"不通过：数值项目缺小数位","通过"))))))</x:f>
      </x:c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34"/>
      <x:c r="J36" s="22"/>
      <x:c r="K36" s="22"/>
      <x:c r="L36" s="22"/>
      <x:c r="M36" s="31"/>
      <x:c r="N36" s="22"/>
      <x:c r="O36" s="28" t="str">
        <x:f>IF(COUNTA(A36:N36)=0,"",IF(OR(A36="",B36="",C36="",E36="",F36="",G36="",H36="",J36="",K36="",L36="",M36=""),"不通过：缺少必填项",IF(COUNTIFS($B$5:$B$104,B36,$C$5:$C$104,C36)&gt;1,"不通过：设备项目码重复",IF(COUNTIF('设备台账'!$B$5:$B$104,B36)=0,"不通过：设备编码不存在",IF(COUNTIF('检验项目'!$B$5:$B$104,E36)=0,"不通过：LIS项目不存在",IF(AND(H36="数值",I36=""),"不通过：数值项目缺小数位","通过"))))))</x:f>
      </x:c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34"/>
      <x:c r="J37" s="22"/>
      <x:c r="K37" s="22"/>
      <x:c r="L37" s="22"/>
      <x:c r="M37" s="31"/>
      <x:c r="N37" s="22"/>
      <x:c r="O37" s="28" t="str">
        <x:f>IF(COUNTA(A37:N37)=0,"",IF(OR(A37="",B37="",C37="",E37="",F37="",G37="",H37="",J37="",K37="",L37="",M37=""),"不通过：缺少必填项",IF(COUNTIFS($B$5:$B$104,B37,$C$5:$C$104,C37)&gt;1,"不通过：设备项目码重复",IF(COUNTIF('设备台账'!$B$5:$B$104,B37)=0,"不通过：设备编码不存在",IF(COUNTIF('检验项目'!$B$5:$B$104,E37)=0,"不通过：LIS项目不存在",IF(AND(H37="数值",I37=""),"不通过：数值项目缺小数位","通过"))))))</x:f>
      </x:c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34"/>
      <x:c r="J38" s="22"/>
      <x:c r="K38" s="22"/>
      <x:c r="L38" s="22"/>
      <x:c r="M38" s="31"/>
      <x:c r="N38" s="22"/>
      <x:c r="O38" s="28" t="str">
        <x:f>IF(COUNTA(A38:N38)=0,"",IF(OR(A38="",B38="",C38="",E38="",F38="",G38="",H38="",J38="",K38="",L38="",M38=""),"不通过：缺少必填项",IF(COUNTIFS($B$5:$B$104,B38,$C$5:$C$104,C38)&gt;1,"不通过：设备项目码重复",IF(COUNTIF('设备台账'!$B$5:$B$104,B38)=0,"不通过：设备编码不存在",IF(COUNTIF('检验项目'!$B$5:$B$104,E38)=0,"不通过：LIS项目不存在",IF(AND(H38="数值",I38=""),"不通过：数值项目缺小数位","通过"))))))</x:f>
      </x:c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34"/>
      <x:c r="J39" s="22"/>
      <x:c r="K39" s="22"/>
      <x:c r="L39" s="22"/>
      <x:c r="M39" s="31"/>
      <x:c r="N39" s="22"/>
      <x:c r="O39" s="28" t="str">
        <x:f>IF(COUNTA(A39:N39)=0,"",IF(OR(A39="",B39="",C39="",E39="",F39="",G39="",H39="",J39="",K39="",L39="",M39=""),"不通过：缺少必填项",IF(COUNTIFS($B$5:$B$104,B39,$C$5:$C$104,C39)&gt;1,"不通过：设备项目码重复",IF(COUNTIF('设备台账'!$B$5:$B$104,B39)=0,"不通过：设备编码不存在",IF(COUNTIF('检验项目'!$B$5:$B$104,E39)=0,"不通过：LIS项目不存在",IF(AND(H39="数值",I39=""),"不通过：数值项目缺小数位","通过"))))))</x:f>
      </x:c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34"/>
      <x:c r="J40" s="22"/>
      <x:c r="K40" s="22"/>
      <x:c r="L40" s="22"/>
      <x:c r="M40" s="31"/>
      <x:c r="N40" s="22"/>
      <x:c r="O40" s="28" t="str">
        <x:f>IF(COUNTA(A40:N40)=0,"",IF(OR(A40="",B40="",C40="",E40="",F40="",G40="",H40="",J40="",K40="",L40="",M40=""),"不通过：缺少必填项",IF(COUNTIFS($B$5:$B$104,B40,$C$5:$C$104,C40)&gt;1,"不通过：设备项目码重复",IF(COUNTIF('设备台账'!$B$5:$B$104,B40)=0,"不通过：设备编码不存在",IF(COUNTIF('检验项目'!$B$5:$B$104,E40)=0,"不通过：LIS项目不存在",IF(AND(H40="数值",I40=""),"不通过：数值项目缺小数位","通过"))))))</x:f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34"/>
      <x:c r="J41" s="22"/>
      <x:c r="K41" s="22"/>
      <x:c r="L41" s="22"/>
      <x:c r="M41" s="31"/>
      <x:c r="N41" s="22"/>
      <x:c r="O41" s="28" t="str">
        <x:f>IF(COUNTA(A41:N41)=0,"",IF(OR(A41="",B41="",C41="",E41="",F41="",G41="",H41="",J41="",K41="",L41="",M41=""),"不通过：缺少必填项",IF(COUNTIFS($B$5:$B$104,B41,$C$5:$C$104,C41)&gt;1,"不通过：设备项目码重复",IF(COUNTIF('设备台账'!$B$5:$B$104,B41)=0,"不通过：设备编码不存在",IF(COUNTIF('检验项目'!$B$5:$B$104,E41)=0,"不通过：LIS项目不存在",IF(AND(H41="数值",I41=""),"不通过：数值项目缺小数位","通过"))))))</x:f>
      </x:c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34"/>
      <x:c r="J42" s="22"/>
      <x:c r="K42" s="22"/>
      <x:c r="L42" s="22"/>
      <x:c r="M42" s="31"/>
      <x:c r="N42" s="22"/>
      <x:c r="O42" s="28" t="str">
        <x:f>IF(COUNTA(A42:N42)=0,"",IF(OR(A42="",B42="",C42="",E42="",F42="",G42="",H42="",J42="",K42="",L42="",M42=""),"不通过：缺少必填项",IF(COUNTIFS($B$5:$B$104,B42,$C$5:$C$104,C42)&gt;1,"不通过：设备项目码重复",IF(COUNTIF('设备台账'!$B$5:$B$104,B42)=0,"不通过：设备编码不存在",IF(COUNTIF('检验项目'!$B$5:$B$104,E42)=0,"不通过：LIS项目不存在",IF(AND(H42="数值",I42=""),"不通过：数值项目缺小数位","通过"))))))</x:f>
      </x:c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34"/>
      <x:c r="J43" s="22"/>
      <x:c r="K43" s="22"/>
      <x:c r="L43" s="22"/>
      <x:c r="M43" s="31"/>
      <x:c r="N43" s="22"/>
      <x:c r="O43" s="28" t="str">
        <x:f>IF(COUNTA(A43:N43)=0,"",IF(OR(A43="",B43="",C43="",E43="",F43="",G43="",H43="",J43="",K43="",L43="",M43=""),"不通过：缺少必填项",IF(COUNTIFS($B$5:$B$104,B43,$C$5:$C$104,C43)&gt;1,"不通过：设备项目码重复",IF(COUNTIF('设备台账'!$B$5:$B$104,B43)=0,"不通过：设备编码不存在",IF(COUNTIF('检验项目'!$B$5:$B$104,E43)=0,"不通过：LIS项目不存在",IF(AND(H43="数值",I43=""),"不通过：数值项目缺小数位","通过"))))))</x:f>
      </x:c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34"/>
      <x:c r="J44" s="22"/>
      <x:c r="K44" s="22"/>
      <x:c r="L44" s="22"/>
      <x:c r="M44" s="31"/>
      <x:c r="N44" s="22"/>
      <x:c r="O44" s="28" t="str">
        <x:f>IF(COUNTA(A44:N44)=0,"",IF(OR(A44="",B44="",C44="",E44="",F44="",G44="",H44="",J44="",K44="",L44="",M44=""),"不通过：缺少必填项",IF(COUNTIFS($B$5:$B$104,B44,$C$5:$C$104,C44)&gt;1,"不通过：设备项目码重复",IF(COUNTIF('设备台账'!$B$5:$B$104,B44)=0,"不通过：设备编码不存在",IF(COUNTIF('检验项目'!$B$5:$B$104,E44)=0,"不通过：LIS项目不存在",IF(AND(H44="数值",I44=""),"不通过：数值项目缺小数位","通过"))))))</x:f>
      </x:c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34"/>
      <x:c r="J45" s="22"/>
      <x:c r="K45" s="22"/>
      <x:c r="L45" s="22"/>
      <x:c r="M45" s="31"/>
      <x:c r="N45" s="22"/>
      <x:c r="O45" s="28" t="str">
        <x:f>IF(COUNTA(A45:N45)=0,"",IF(OR(A45="",B45="",C45="",E45="",F45="",G45="",H45="",J45="",K45="",L45="",M45=""),"不通过：缺少必填项",IF(COUNTIFS($B$5:$B$104,B45,$C$5:$C$104,C45)&gt;1,"不通过：设备项目码重复",IF(COUNTIF('设备台账'!$B$5:$B$104,B45)=0,"不通过：设备编码不存在",IF(COUNTIF('检验项目'!$B$5:$B$104,E45)=0,"不通过：LIS项目不存在",IF(AND(H45="数值",I45=""),"不通过：数值项目缺小数位","通过"))))))</x:f>
      </x:c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34"/>
      <x:c r="J46" s="22"/>
      <x:c r="K46" s="22"/>
      <x:c r="L46" s="22"/>
      <x:c r="M46" s="31"/>
      <x:c r="N46" s="22"/>
      <x:c r="O46" s="28" t="str">
        <x:f>IF(COUNTA(A46:N46)=0,"",IF(OR(A46="",B46="",C46="",E46="",F46="",G46="",H46="",J46="",K46="",L46="",M46=""),"不通过：缺少必填项",IF(COUNTIFS($B$5:$B$104,B46,$C$5:$C$104,C46)&gt;1,"不通过：设备项目码重复",IF(COUNTIF('设备台账'!$B$5:$B$104,B46)=0,"不通过：设备编码不存在",IF(COUNTIF('检验项目'!$B$5:$B$104,E46)=0,"不通过：LIS项目不存在",IF(AND(H46="数值",I46=""),"不通过：数值项目缺小数位","通过"))))))</x:f>
      </x:c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34"/>
      <x:c r="J47" s="22"/>
      <x:c r="K47" s="22"/>
      <x:c r="L47" s="22"/>
      <x:c r="M47" s="31"/>
      <x:c r="N47" s="22"/>
      <x:c r="O47" s="28" t="str">
        <x:f>IF(COUNTA(A47:N47)=0,"",IF(OR(A47="",B47="",C47="",E47="",F47="",G47="",H47="",J47="",K47="",L47="",M47=""),"不通过：缺少必填项",IF(COUNTIFS($B$5:$B$104,B47,$C$5:$C$104,C47)&gt;1,"不通过：设备项目码重复",IF(COUNTIF('设备台账'!$B$5:$B$104,B47)=0,"不通过：设备编码不存在",IF(COUNTIF('检验项目'!$B$5:$B$104,E47)=0,"不通过：LIS项目不存在",IF(AND(H47="数值",I47=""),"不通过：数值项目缺小数位","通过"))))))</x:f>
      </x:c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34"/>
      <x:c r="J48" s="22"/>
      <x:c r="K48" s="22"/>
      <x:c r="L48" s="22"/>
      <x:c r="M48" s="31"/>
      <x:c r="N48" s="22"/>
      <x:c r="O48" s="28" t="str">
        <x:f>IF(COUNTA(A48:N48)=0,"",IF(OR(A48="",B48="",C48="",E48="",F48="",G48="",H48="",J48="",K48="",L48="",M48=""),"不通过：缺少必填项",IF(COUNTIFS($B$5:$B$104,B48,$C$5:$C$104,C48)&gt;1,"不通过：设备项目码重复",IF(COUNTIF('设备台账'!$B$5:$B$104,B48)=0,"不通过：设备编码不存在",IF(COUNTIF('检验项目'!$B$5:$B$104,E48)=0,"不通过：LIS项目不存在",IF(AND(H48="数值",I48=""),"不通过：数值项目缺小数位","通过"))))))</x:f>
      </x:c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34"/>
      <x:c r="J49" s="22"/>
      <x:c r="K49" s="22"/>
      <x:c r="L49" s="22"/>
      <x:c r="M49" s="31"/>
      <x:c r="N49" s="22"/>
      <x:c r="O49" s="28" t="str">
        <x:f>IF(COUNTA(A49:N49)=0,"",IF(OR(A49="",B49="",C49="",E49="",F49="",G49="",H49="",J49="",K49="",L49="",M49=""),"不通过：缺少必填项",IF(COUNTIFS($B$5:$B$104,B49,$C$5:$C$104,C49)&gt;1,"不通过：设备项目码重复",IF(COUNTIF('设备台账'!$B$5:$B$104,B49)=0,"不通过：设备编码不存在",IF(COUNTIF('检验项目'!$B$5:$B$104,E49)=0,"不通过：LIS项目不存在",IF(AND(H49="数值",I49=""),"不通过：数值项目缺小数位","通过"))))))</x:f>
      </x:c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34"/>
      <x:c r="J50" s="22"/>
      <x:c r="K50" s="22"/>
      <x:c r="L50" s="22"/>
      <x:c r="M50" s="31"/>
      <x:c r="N50" s="22"/>
      <x:c r="O50" s="28" t="str">
        <x:f>IF(COUNTA(A50:N50)=0,"",IF(OR(A50="",B50="",C50="",E50="",F50="",G50="",H50="",J50="",K50="",L50="",M50=""),"不通过：缺少必填项",IF(COUNTIFS($B$5:$B$104,B50,$C$5:$C$104,C50)&gt;1,"不通过：设备项目码重复",IF(COUNTIF('设备台账'!$B$5:$B$104,B50)=0,"不通过：设备编码不存在",IF(COUNTIF('检验项目'!$B$5:$B$104,E50)=0,"不通过：LIS项目不存在",IF(AND(H50="数值",I50=""),"不通过：数值项目缺小数位","通过"))))))</x:f>
      </x:c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34"/>
      <x:c r="J51" s="22"/>
      <x:c r="K51" s="22"/>
      <x:c r="L51" s="22"/>
      <x:c r="M51" s="31"/>
      <x:c r="N51" s="22"/>
      <x:c r="O51" s="28" t="str">
        <x:f>IF(COUNTA(A51:N51)=0,"",IF(OR(A51="",B51="",C51="",E51="",F51="",G51="",H51="",J51="",K51="",L51="",M51=""),"不通过：缺少必填项",IF(COUNTIFS($B$5:$B$104,B51,$C$5:$C$104,C51)&gt;1,"不通过：设备项目码重复",IF(COUNTIF('设备台账'!$B$5:$B$104,B51)=0,"不通过：设备编码不存在",IF(COUNTIF('检验项目'!$B$5:$B$104,E51)=0,"不通过：LIS项目不存在",IF(AND(H51="数值",I51=""),"不通过：数值项目缺小数位","通过"))))))</x:f>
      </x:c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34"/>
      <x:c r="J52" s="22"/>
      <x:c r="K52" s="22"/>
      <x:c r="L52" s="22"/>
      <x:c r="M52" s="31"/>
      <x:c r="N52" s="22"/>
      <x:c r="O52" s="28" t="str">
        <x:f>IF(COUNTA(A52:N52)=0,"",IF(OR(A52="",B52="",C52="",E52="",F52="",G52="",H52="",J52="",K52="",L52="",M52=""),"不通过：缺少必填项",IF(COUNTIFS($B$5:$B$104,B52,$C$5:$C$104,C52)&gt;1,"不通过：设备项目码重复",IF(COUNTIF('设备台账'!$B$5:$B$104,B52)=0,"不通过：设备编码不存在",IF(COUNTIF('检验项目'!$B$5:$B$104,E52)=0,"不通过：LIS项目不存在",IF(AND(H52="数值",I52=""),"不通过：数值项目缺小数位","通过"))))))</x:f>
      </x:c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34"/>
      <x:c r="J53" s="22"/>
      <x:c r="K53" s="22"/>
      <x:c r="L53" s="22"/>
      <x:c r="M53" s="31"/>
      <x:c r="N53" s="22"/>
      <x:c r="O53" s="28" t="str">
        <x:f>IF(COUNTA(A53:N53)=0,"",IF(OR(A53="",B53="",C53="",E53="",F53="",G53="",H53="",J53="",K53="",L53="",M53=""),"不通过：缺少必填项",IF(COUNTIFS($B$5:$B$104,B53,$C$5:$C$104,C53)&gt;1,"不通过：设备项目码重复",IF(COUNTIF('设备台账'!$B$5:$B$104,B53)=0,"不通过：设备编码不存在",IF(COUNTIF('检验项目'!$B$5:$B$104,E53)=0,"不通过：LIS项目不存在",IF(AND(H53="数值",I53=""),"不通过：数值项目缺小数位","通过"))))))</x:f>
      </x:c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34"/>
      <x:c r="J54" s="22"/>
      <x:c r="K54" s="22"/>
      <x:c r="L54" s="22"/>
      <x:c r="M54" s="31"/>
      <x:c r="N54" s="22"/>
      <x:c r="O54" s="28" t="str">
        <x:f>IF(COUNTA(A54:N54)=0,"",IF(OR(A54="",B54="",C54="",E54="",F54="",G54="",H54="",J54="",K54="",L54="",M54=""),"不通过：缺少必填项",IF(COUNTIFS($B$5:$B$104,B54,$C$5:$C$104,C54)&gt;1,"不通过：设备项目码重复",IF(COUNTIF('设备台账'!$B$5:$B$104,B54)=0,"不通过：设备编码不存在",IF(COUNTIF('检验项目'!$B$5:$B$104,E54)=0,"不通过：LIS项目不存在",IF(AND(H54="数值",I54=""),"不通过：数值项目缺小数位","通过"))))))</x:f>
      </x:c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34"/>
      <x:c r="J55" s="22"/>
      <x:c r="K55" s="22"/>
      <x:c r="L55" s="22"/>
      <x:c r="M55" s="31"/>
      <x:c r="N55" s="22"/>
      <x:c r="O55" s="28" t="str">
        <x:f>IF(COUNTA(A55:N55)=0,"",IF(OR(A55="",B55="",C55="",E55="",F55="",G55="",H55="",J55="",K55="",L55="",M55=""),"不通过：缺少必填项",IF(COUNTIFS($B$5:$B$104,B55,$C$5:$C$104,C55)&gt;1,"不通过：设备项目码重复",IF(COUNTIF('设备台账'!$B$5:$B$104,B55)=0,"不通过：设备编码不存在",IF(COUNTIF('检验项目'!$B$5:$B$104,E55)=0,"不通过：LIS项目不存在",IF(AND(H55="数值",I55=""),"不通过：数值项目缺小数位","通过"))))))</x:f>
      </x:c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34"/>
      <x:c r="J56" s="22"/>
      <x:c r="K56" s="22"/>
      <x:c r="L56" s="22"/>
      <x:c r="M56" s="31"/>
      <x:c r="N56" s="22"/>
      <x:c r="O56" s="28" t="str">
        <x:f>IF(COUNTA(A56:N56)=0,"",IF(OR(A56="",B56="",C56="",E56="",F56="",G56="",H56="",J56="",K56="",L56="",M56=""),"不通过：缺少必填项",IF(COUNTIFS($B$5:$B$104,B56,$C$5:$C$104,C56)&gt;1,"不通过：设备项目码重复",IF(COUNTIF('设备台账'!$B$5:$B$104,B56)=0,"不通过：设备编码不存在",IF(COUNTIF('检验项目'!$B$5:$B$104,E56)=0,"不通过：LIS项目不存在",IF(AND(H56="数值",I56=""),"不通过：数值项目缺小数位","通过"))))))</x:f>
      </x:c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34"/>
      <x:c r="J57" s="22"/>
      <x:c r="K57" s="22"/>
      <x:c r="L57" s="22"/>
      <x:c r="M57" s="31"/>
      <x:c r="N57" s="22"/>
      <x:c r="O57" s="28" t="str">
        <x:f>IF(COUNTA(A57:N57)=0,"",IF(OR(A57="",B57="",C57="",E57="",F57="",G57="",H57="",J57="",K57="",L57="",M57=""),"不通过：缺少必填项",IF(COUNTIFS($B$5:$B$104,B57,$C$5:$C$104,C57)&gt;1,"不通过：设备项目码重复",IF(COUNTIF('设备台账'!$B$5:$B$104,B57)=0,"不通过：设备编码不存在",IF(COUNTIF('检验项目'!$B$5:$B$104,E57)=0,"不通过：LIS项目不存在",IF(AND(H57="数值",I57=""),"不通过：数值项目缺小数位","通过"))))))</x:f>
      </x:c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34"/>
      <x:c r="J58" s="22"/>
      <x:c r="K58" s="22"/>
      <x:c r="L58" s="22"/>
      <x:c r="M58" s="31"/>
      <x:c r="N58" s="22"/>
      <x:c r="O58" s="28" t="str">
        <x:f>IF(COUNTA(A58:N58)=0,"",IF(OR(A58="",B58="",C58="",E58="",F58="",G58="",H58="",J58="",K58="",L58="",M58=""),"不通过：缺少必填项",IF(COUNTIFS($B$5:$B$104,B58,$C$5:$C$104,C58)&gt;1,"不通过：设备项目码重复",IF(COUNTIF('设备台账'!$B$5:$B$104,B58)=0,"不通过：设备编码不存在",IF(COUNTIF('检验项目'!$B$5:$B$104,E58)=0,"不通过：LIS项目不存在",IF(AND(H58="数值",I58=""),"不通过：数值项目缺小数位","通过"))))))</x:f>
      </x:c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34"/>
      <x:c r="J59" s="22"/>
      <x:c r="K59" s="22"/>
      <x:c r="L59" s="22"/>
      <x:c r="M59" s="31"/>
      <x:c r="N59" s="22"/>
      <x:c r="O59" s="28" t="str">
        <x:f>IF(COUNTA(A59:N59)=0,"",IF(OR(A59="",B59="",C59="",E59="",F59="",G59="",H59="",J59="",K59="",L59="",M59=""),"不通过：缺少必填项",IF(COUNTIFS($B$5:$B$104,B59,$C$5:$C$104,C59)&gt;1,"不通过：设备项目码重复",IF(COUNTIF('设备台账'!$B$5:$B$104,B59)=0,"不通过：设备编码不存在",IF(COUNTIF('检验项目'!$B$5:$B$104,E59)=0,"不通过：LIS项目不存在",IF(AND(H59="数值",I59=""),"不通过：数值项目缺小数位","通过"))))))</x:f>
      </x:c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34"/>
      <x:c r="J60" s="22"/>
      <x:c r="K60" s="22"/>
      <x:c r="L60" s="22"/>
      <x:c r="M60" s="31"/>
      <x:c r="N60" s="22"/>
      <x:c r="O60" s="28" t="str">
        <x:f>IF(COUNTA(A60:N60)=0,"",IF(OR(A60="",B60="",C60="",E60="",F60="",G60="",H60="",J60="",K60="",L60="",M60=""),"不通过：缺少必填项",IF(COUNTIFS($B$5:$B$104,B60,$C$5:$C$104,C60)&gt;1,"不通过：设备项目码重复",IF(COUNTIF('设备台账'!$B$5:$B$104,B60)=0,"不通过：设备编码不存在",IF(COUNTIF('检验项目'!$B$5:$B$104,E60)=0,"不通过：LIS项目不存在",IF(AND(H60="数值",I60=""),"不通过：数值项目缺小数位","通过"))))))</x:f>
      </x:c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34"/>
      <x:c r="J61" s="22"/>
      <x:c r="K61" s="22"/>
      <x:c r="L61" s="22"/>
      <x:c r="M61" s="31"/>
      <x:c r="N61" s="22"/>
      <x:c r="O61" s="28" t="str">
        <x:f>IF(COUNTA(A61:N61)=0,"",IF(OR(A61="",B61="",C61="",E61="",F61="",G61="",H61="",J61="",K61="",L61="",M61=""),"不通过：缺少必填项",IF(COUNTIFS($B$5:$B$104,B61,$C$5:$C$104,C61)&gt;1,"不通过：设备项目码重复",IF(COUNTIF('设备台账'!$B$5:$B$104,B61)=0,"不通过：设备编码不存在",IF(COUNTIF('检验项目'!$B$5:$B$104,E61)=0,"不通过：LIS项目不存在",IF(AND(H61="数值",I61=""),"不通过：数值项目缺小数位","通过"))))))</x:f>
      </x:c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34"/>
      <x:c r="J62" s="22"/>
      <x:c r="K62" s="22"/>
      <x:c r="L62" s="22"/>
      <x:c r="M62" s="31"/>
      <x:c r="N62" s="22"/>
      <x:c r="O62" s="28" t="str">
        <x:f>IF(COUNTA(A62:N62)=0,"",IF(OR(A62="",B62="",C62="",E62="",F62="",G62="",H62="",J62="",K62="",L62="",M62=""),"不通过：缺少必填项",IF(COUNTIFS($B$5:$B$104,B62,$C$5:$C$104,C62)&gt;1,"不通过：设备项目码重复",IF(COUNTIF('设备台账'!$B$5:$B$104,B62)=0,"不通过：设备编码不存在",IF(COUNTIF('检验项目'!$B$5:$B$104,E62)=0,"不通过：LIS项目不存在",IF(AND(H62="数值",I62=""),"不通过：数值项目缺小数位","通过"))))))</x:f>
      </x:c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34"/>
      <x:c r="J63" s="22"/>
      <x:c r="K63" s="22"/>
      <x:c r="L63" s="22"/>
      <x:c r="M63" s="31"/>
      <x:c r="N63" s="22"/>
      <x:c r="O63" s="28" t="str">
        <x:f>IF(COUNTA(A63:N63)=0,"",IF(OR(A63="",B63="",C63="",E63="",F63="",G63="",H63="",J63="",K63="",L63="",M63=""),"不通过：缺少必填项",IF(COUNTIFS($B$5:$B$104,B63,$C$5:$C$104,C63)&gt;1,"不通过：设备项目码重复",IF(COUNTIF('设备台账'!$B$5:$B$104,B63)=0,"不通过：设备编码不存在",IF(COUNTIF('检验项目'!$B$5:$B$104,E63)=0,"不通过：LIS项目不存在",IF(AND(H63="数值",I63=""),"不通过：数值项目缺小数位","通过"))))))</x:f>
      </x:c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34"/>
      <x:c r="J64" s="22"/>
      <x:c r="K64" s="22"/>
      <x:c r="L64" s="22"/>
      <x:c r="M64" s="31"/>
      <x:c r="N64" s="22"/>
      <x:c r="O64" s="28" t="str">
        <x:f>IF(COUNTA(A64:N64)=0,"",IF(OR(A64="",B64="",C64="",E64="",F64="",G64="",H64="",J64="",K64="",L64="",M64=""),"不通过：缺少必填项",IF(COUNTIFS($B$5:$B$104,B64,$C$5:$C$104,C64)&gt;1,"不通过：设备项目码重复",IF(COUNTIF('设备台账'!$B$5:$B$104,B64)=0,"不通过：设备编码不存在",IF(COUNTIF('检验项目'!$B$5:$B$104,E64)=0,"不通过：LIS项目不存在",IF(AND(H64="数值",I64=""),"不通过：数值项目缺小数位","通过"))))))</x:f>
      </x:c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34"/>
      <x:c r="J65" s="22"/>
      <x:c r="K65" s="22"/>
      <x:c r="L65" s="22"/>
      <x:c r="M65" s="31"/>
      <x:c r="N65" s="22"/>
      <x:c r="O65" s="28" t="str">
        <x:f>IF(COUNTA(A65:N65)=0,"",IF(OR(A65="",B65="",C65="",E65="",F65="",G65="",H65="",J65="",K65="",L65="",M65=""),"不通过：缺少必填项",IF(COUNTIFS($B$5:$B$104,B65,$C$5:$C$104,C65)&gt;1,"不通过：设备项目码重复",IF(COUNTIF('设备台账'!$B$5:$B$104,B65)=0,"不通过：设备编码不存在",IF(COUNTIF('检验项目'!$B$5:$B$104,E65)=0,"不通过：LIS项目不存在",IF(AND(H65="数值",I65=""),"不通过：数值项目缺小数位","通过"))))))</x:f>
      </x:c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34"/>
      <x:c r="J66" s="22"/>
      <x:c r="K66" s="22"/>
      <x:c r="L66" s="22"/>
      <x:c r="M66" s="31"/>
      <x:c r="N66" s="22"/>
      <x:c r="O66" s="28" t="str">
        <x:f>IF(COUNTA(A66:N66)=0,"",IF(OR(A66="",B66="",C66="",E66="",F66="",G66="",H66="",J66="",K66="",L66="",M66=""),"不通过：缺少必填项",IF(COUNTIFS($B$5:$B$104,B66,$C$5:$C$104,C66)&gt;1,"不通过：设备项目码重复",IF(COUNTIF('设备台账'!$B$5:$B$104,B66)=0,"不通过：设备编码不存在",IF(COUNTIF('检验项目'!$B$5:$B$104,E66)=0,"不通过：LIS项目不存在",IF(AND(H66="数值",I66=""),"不通过：数值项目缺小数位","通过"))))))</x:f>
      </x:c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34"/>
      <x:c r="J67" s="22"/>
      <x:c r="K67" s="22"/>
      <x:c r="L67" s="22"/>
      <x:c r="M67" s="31"/>
      <x:c r="N67" s="22"/>
      <x:c r="O67" s="28" t="str">
        <x:f>IF(COUNTA(A67:N67)=0,"",IF(OR(A67="",B67="",C67="",E67="",F67="",G67="",H67="",J67="",K67="",L67="",M67=""),"不通过：缺少必填项",IF(COUNTIFS($B$5:$B$104,B67,$C$5:$C$104,C67)&gt;1,"不通过：设备项目码重复",IF(COUNTIF('设备台账'!$B$5:$B$104,B67)=0,"不通过：设备编码不存在",IF(COUNTIF('检验项目'!$B$5:$B$104,E67)=0,"不通过：LIS项目不存在",IF(AND(H67="数值",I67=""),"不通过：数值项目缺小数位","通过"))))))</x:f>
      </x:c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34"/>
      <x:c r="J68" s="22"/>
      <x:c r="K68" s="22"/>
      <x:c r="L68" s="22"/>
      <x:c r="M68" s="31"/>
      <x:c r="N68" s="22"/>
      <x:c r="O68" s="28" t="str">
        <x:f>IF(COUNTA(A68:N68)=0,"",IF(OR(A68="",B68="",C68="",E68="",F68="",G68="",H68="",J68="",K68="",L68="",M68=""),"不通过：缺少必填项",IF(COUNTIFS($B$5:$B$104,B68,$C$5:$C$104,C68)&gt;1,"不通过：设备项目码重复",IF(COUNTIF('设备台账'!$B$5:$B$104,B68)=0,"不通过：设备编码不存在",IF(COUNTIF('检验项目'!$B$5:$B$104,E68)=0,"不通过：LIS项目不存在",IF(AND(H68="数值",I68=""),"不通过：数值项目缺小数位","通过"))))))</x:f>
      </x:c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34"/>
      <x:c r="J69" s="22"/>
      <x:c r="K69" s="22"/>
      <x:c r="L69" s="22"/>
      <x:c r="M69" s="31"/>
      <x:c r="N69" s="22"/>
      <x:c r="O69" s="28" t="str">
        <x:f>IF(COUNTA(A69:N69)=0,"",IF(OR(A69="",B69="",C69="",E69="",F69="",G69="",H69="",J69="",K69="",L69="",M69=""),"不通过：缺少必填项",IF(COUNTIFS($B$5:$B$104,B69,$C$5:$C$104,C69)&gt;1,"不通过：设备项目码重复",IF(COUNTIF('设备台账'!$B$5:$B$104,B69)=0,"不通过：设备编码不存在",IF(COUNTIF('检验项目'!$B$5:$B$104,E69)=0,"不通过：LIS项目不存在",IF(AND(H69="数值",I69=""),"不通过：数值项目缺小数位","通过"))))))</x:f>
      </x:c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34"/>
      <x:c r="J70" s="22"/>
      <x:c r="K70" s="22"/>
      <x:c r="L70" s="22"/>
      <x:c r="M70" s="31"/>
      <x:c r="N70" s="22"/>
      <x:c r="O70" s="28" t="str">
        <x:f>IF(COUNTA(A70:N70)=0,"",IF(OR(A70="",B70="",C70="",E70="",F70="",G70="",H70="",J70="",K70="",L70="",M70=""),"不通过：缺少必填项",IF(COUNTIFS($B$5:$B$104,B70,$C$5:$C$104,C70)&gt;1,"不通过：设备项目码重复",IF(COUNTIF('设备台账'!$B$5:$B$104,B70)=0,"不通过：设备编码不存在",IF(COUNTIF('检验项目'!$B$5:$B$104,E70)=0,"不通过：LIS项目不存在",IF(AND(H70="数值",I70=""),"不通过：数值项目缺小数位","通过"))))))</x:f>
      </x:c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34"/>
      <x:c r="J71" s="22"/>
      <x:c r="K71" s="22"/>
      <x:c r="L71" s="22"/>
      <x:c r="M71" s="31"/>
      <x:c r="N71" s="22"/>
      <x:c r="O71" s="28" t="str">
        <x:f>IF(COUNTA(A71:N71)=0,"",IF(OR(A71="",B71="",C71="",E71="",F71="",G71="",H71="",J71="",K71="",L71="",M71=""),"不通过：缺少必填项",IF(COUNTIFS($B$5:$B$104,B71,$C$5:$C$104,C71)&gt;1,"不通过：设备项目码重复",IF(COUNTIF('设备台账'!$B$5:$B$104,B71)=0,"不通过：设备编码不存在",IF(COUNTIF('检验项目'!$B$5:$B$104,E71)=0,"不通过：LIS项目不存在",IF(AND(H71="数值",I71=""),"不通过：数值项目缺小数位","通过"))))))</x:f>
      </x:c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34"/>
      <x:c r="J72" s="22"/>
      <x:c r="K72" s="22"/>
      <x:c r="L72" s="22"/>
      <x:c r="M72" s="31"/>
      <x:c r="N72" s="22"/>
      <x:c r="O72" s="28" t="str">
        <x:f>IF(COUNTA(A72:N72)=0,"",IF(OR(A72="",B72="",C72="",E72="",F72="",G72="",H72="",J72="",K72="",L72="",M72=""),"不通过：缺少必填项",IF(COUNTIFS($B$5:$B$104,B72,$C$5:$C$104,C72)&gt;1,"不通过：设备项目码重复",IF(COUNTIF('设备台账'!$B$5:$B$104,B72)=0,"不通过：设备编码不存在",IF(COUNTIF('检验项目'!$B$5:$B$104,E72)=0,"不通过：LIS项目不存在",IF(AND(H72="数值",I72=""),"不通过：数值项目缺小数位","通过"))))))</x:f>
      </x:c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34"/>
      <x:c r="J73" s="22"/>
      <x:c r="K73" s="22"/>
      <x:c r="L73" s="22"/>
      <x:c r="M73" s="31"/>
      <x:c r="N73" s="22"/>
      <x:c r="O73" s="28" t="str">
        <x:f>IF(COUNTA(A73:N73)=0,"",IF(OR(A73="",B73="",C73="",E73="",F73="",G73="",H73="",J73="",K73="",L73="",M73=""),"不通过：缺少必填项",IF(COUNTIFS($B$5:$B$104,B73,$C$5:$C$104,C73)&gt;1,"不通过：设备项目码重复",IF(COUNTIF('设备台账'!$B$5:$B$104,B73)=0,"不通过：设备编码不存在",IF(COUNTIF('检验项目'!$B$5:$B$104,E73)=0,"不通过：LIS项目不存在",IF(AND(H73="数值",I73=""),"不通过：数值项目缺小数位","通过"))))))</x:f>
      </x:c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34"/>
      <x:c r="J74" s="22"/>
      <x:c r="K74" s="22"/>
      <x:c r="L74" s="22"/>
      <x:c r="M74" s="31"/>
      <x:c r="N74" s="22"/>
      <x:c r="O74" s="28" t="str">
        <x:f>IF(COUNTA(A74:N74)=0,"",IF(OR(A74="",B74="",C74="",E74="",F74="",G74="",H74="",J74="",K74="",L74="",M74=""),"不通过：缺少必填项",IF(COUNTIFS($B$5:$B$104,B74,$C$5:$C$104,C74)&gt;1,"不通过：设备项目码重复",IF(COUNTIF('设备台账'!$B$5:$B$104,B74)=0,"不通过：设备编码不存在",IF(COUNTIF('检验项目'!$B$5:$B$104,E74)=0,"不通过：LIS项目不存在",IF(AND(H74="数值",I74=""),"不通过：数值项目缺小数位","通过"))))))</x:f>
      </x:c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34"/>
      <x:c r="J75" s="22"/>
      <x:c r="K75" s="22"/>
      <x:c r="L75" s="22"/>
      <x:c r="M75" s="31"/>
      <x:c r="N75" s="22"/>
      <x:c r="O75" s="28" t="str">
        <x:f>IF(COUNTA(A75:N75)=0,"",IF(OR(A75="",B75="",C75="",E75="",F75="",G75="",H75="",J75="",K75="",L75="",M75=""),"不通过：缺少必填项",IF(COUNTIFS($B$5:$B$104,B75,$C$5:$C$104,C75)&gt;1,"不通过：设备项目码重复",IF(COUNTIF('设备台账'!$B$5:$B$104,B75)=0,"不通过：设备编码不存在",IF(COUNTIF('检验项目'!$B$5:$B$104,E75)=0,"不通过：LIS项目不存在",IF(AND(H75="数值",I75=""),"不通过：数值项目缺小数位","通过"))))))</x:f>
      </x:c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34"/>
      <x:c r="J76" s="22"/>
      <x:c r="K76" s="22"/>
      <x:c r="L76" s="22"/>
      <x:c r="M76" s="31"/>
      <x:c r="N76" s="22"/>
      <x:c r="O76" s="28" t="str">
        <x:f>IF(COUNTA(A76:N76)=0,"",IF(OR(A76="",B76="",C76="",E76="",F76="",G76="",H76="",J76="",K76="",L76="",M76=""),"不通过：缺少必填项",IF(COUNTIFS($B$5:$B$104,B76,$C$5:$C$104,C76)&gt;1,"不通过：设备项目码重复",IF(COUNTIF('设备台账'!$B$5:$B$104,B76)=0,"不通过：设备编码不存在",IF(COUNTIF('检验项目'!$B$5:$B$104,E76)=0,"不通过：LIS项目不存在",IF(AND(H76="数值",I76=""),"不通过：数值项目缺小数位","通过"))))))</x:f>
      </x:c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34"/>
      <x:c r="J77" s="22"/>
      <x:c r="K77" s="22"/>
      <x:c r="L77" s="22"/>
      <x:c r="M77" s="31"/>
      <x:c r="N77" s="22"/>
      <x:c r="O77" s="28" t="str">
        <x:f>IF(COUNTA(A77:N77)=0,"",IF(OR(A77="",B77="",C77="",E77="",F77="",G77="",H77="",J77="",K77="",L77="",M77=""),"不通过：缺少必填项",IF(COUNTIFS($B$5:$B$104,B77,$C$5:$C$104,C77)&gt;1,"不通过：设备项目码重复",IF(COUNTIF('设备台账'!$B$5:$B$104,B77)=0,"不通过：设备编码不存在",IF(COUNTIF('检验项目'!$B$5:$B$104,E77)=0,"不通过：LIS项目不存在",IF(AND(H77="数值",I77=""),"不通过：数值项目缺小数位","通过"))))))</x:f>
      </x:c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34"/>
      <x:c r="J78" s="22"/>
      <x:c r="K78" s="22"/>
      <x:c r="L78" s="22"/>
      <x:c r="M78" s="31"/>
      <x:c r="N78" s="22"/>
      <x:c r="O78" s="28" t="str">
        <x:f>IF(COUNTA(A78:N78)=0,"",IF(OR(A78="",B78="",C78="",E78="",F78="",G78="",H78="",J78="",K78="",L78="",M78=""),"不通过：缺少必填项",IF(COUNTIFS($B$5:$B$104,B78,$C$5:$C$104,C78)&gt;1,"不通过：设备项目码重复",IF(COUNTIF('设备台账'!$B$5:$B$104,B78)=0,"不通过：设备编码不存在",IF(COUNTIF('检验项目'!$B$5:$B$104,E78)=0,"不通过：LIS项目不存在",IF(AND(H78="数值",I78=""),"不通过：数值项目缺小数位","通过"))))))</x:f>
      </x:c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34"/>
      <x:c r="J79" s="22"/>
      <x:c r="K79" s="22"/>
      <x:c r="L79" s="22"/>
      <x:c r="M79" s="31"/>
      <x:c r="N79" s="22"/>
      <x:c r="O79" s="28" t="str">
        <x:f>IF(COUNTA(A79:N79)=0,"",IF(OR(A79="",B79="",C79="",E79="",F79="",G79="",H79="",J79="",K79="",L79="",M79=""),"不通过：缺少必填项",IF(COUNTIFS($B$5:$B$104,B79,$C$5:$C$104,C79)&gt;1,"不通过：设备项目码重复",IF(COUNTIF('设备台账'!$B$5:$B$104,B79)=0,"不通过：设备编码不存在",IF(COUNTIF('检验项目'!$B$5:$B$104,E79)=0,"不通过：LIS项目不存在",IF(AND(H79="数值",I79=""),"不通过：数值项目缺小数位","通过"))))))</x:f>
      </x:c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34"/>
      <x:c r="J80" s="22"/>
      <x:c r="K80" s="22"/>
      <x:c r="L80" s="22"/>
      <x:c r="M80" s="31"/>
      <x:c r="N80" s="22"/>
      <x:c r="O80" s="28" t="str">
        <x:f>IF(COUNTA(A80:N80)=0,"",IF(OR(A80="",B80="",C80="",E80="",F80="",G80="",H80="",J80="",K80="",L80="",M80=""),"不通过：缺少必填项",IF(COUNTIFS($B$5:$B$104,B80,$C$5:$C$104,C80)&gt;1,"不通过：设备项目码重复",IF(COUNTIF('设备台账'!$B$5:$B$104,B80)=0,"不通过：设备编码不存在",IF(COUNTIF('检验项目'!$B$5:$B$104,E80)=0,"不通过：LIS项目不存在",IF(AND(H80="数值",I80=""),"不通过：数值项目缺小数位","通过"))))))</x:f>
      </x:c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34"/>
      <x:c r="J81" s="22"/>
      <x:c r="K81" s="22"/>
      <x:c r="L81" s="22"/>
      <x:c r="M81" s="31"/>
      <x:c r="N81" s="22"/>
      <x:c r="O81" s="28" t="str">
        <x:f>IF(COUNTA(A81:N81)=0,"",IF(OR(A81="",B81="",C81="",E81="",F81="",G81="",H81="",J81="",K81="",L81="",M81=""),"不通过：缺少必填项",IF(COUNTIFS($B$5:$B$104,B81,$C$5:$C$104,C81)&gt;1,"不通过：设备项目码重复",IF(COUNTIF('设备台账'!$B$5:$B$104,B81)=0,"不通过：设备编码不存在",IF(COUNTIF('检验项目'!$B$5:$B$104,E81)=0,"不通过：LIS项目不存在",IF(AND(H81="数值",I81=""),"不通过：数值项目缺小数位","通过"))))))</x:f>
      </x:c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34"/>
      <x:c r="J82" s="22"/>
      <x:c r="K82" s="22"/>
      <x:c r="L82" s="22"/>
      <x:c r="M82" s="31"/>
      <x:c r="N82" s="22"/>
      <x:c r="O82" s="28" t="str">
        <x:f>IF(COUNTA(A82:N82)=0,"",IF(OR(A82="",B82="",C82="",E82="",F82="",G82="",H82="",J82="",K82="",L82="",M82=""),"不通过：缺少必填项",IF(COUNTIFS($B$5:$B$104,B82,$C$5:$C$104,C82)&gt;1,"不通过：设备项目码重复",IF(COUNTIF('设备台账'!$B$5:$B$104,B82)=0,"不通过：设备编码不存在",IF(COUNTIF('检验项目'!$B$5:$B$104,E82)=0,"不通过：LIS项目不存在",IF(AND(H82="数值",I82=""),"不通过：数值项目缺小数位","通过"))))))</x:f>
      </x:c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34"/>
      <x:c r="J83" s="22"/>
      <x:c r="K83" s="22"/>
      <x:c r="L83" s="22"/>
      <x:c r="M83" s="31"/>
      <x:c r="N83" s="22"/>
      <x:c r="O83" s="28" t="str">
        <x:f>IF(COUNTA(A83:N83)=0,"",IF(OR(A83="",B83="",C83="",E83="",F83="",G83="",H83="",J83="",K83="",L83="",M83=""),"不通过：缺少必填项",IF(COUNTIFS($B$5:$B$104,B83,$C$5:$C$104,C83)&gt;1,"不通过：设备项目码重复",IF(COUNTIF('设备台账'!$B$5:$B$104,B83)=0,"不通过：设备编码不存在",IF(COUNTIF('检验项目'!$B$5:$B$104,E83)=0,"不通过：LIS项目不存在",IF(AND(H83="数值",I83=""),"不通过：数值项目缺小数位","通过"))))))</x:f>
      </x:c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34"/>
      <x:c r="J84" s="22"/>
      <x:c r="K84" s="22"/>
      <x:c r="L84" s="22"/>
      <x:c r="M84" s="31"/>
      <x:c r="N84" s="22"/>
      <x:c r="O84" s="28" t="str">
        <x:f>IF(COUNTA(A84:N84)=0,"",IF(OR(A84="",B84="",C84="",E84="",F84="",G84="",H84="",J84="",K84="",L84="",M84=""),"不通过：缺少必填项",IF(COUNTIFS($B$5:$B$104,B84,$C$5:$C$104,C84)&gt;1,"不通过：设备项目码重复",IF(COUNTIF('设备台账'!$B$5:$B$104,B84)=0,"不通过：设备编码不存在",IF(COUNTIF('检验项目'!$B$5:$B$104,E84)=0,"不通过：LIS项目不存在",IF(AND(H84="数值",I84=""),"不通过：数值项目缺小数位","通过"))))))</x:f>
      </x:c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34"/>
      <x:c r="J85" s="22"/>
      <x:c r="K85" s="22"/>
      <x:c r="L85" s="22"/>
      <x:c r="M85" s="31"/>
      <x:c r="N85" s="22"/>
      <x:c r="O85" s="28" t="str">
        <x:f>IF(COUNTA(A85:N85)=0,"",IF(OR(A85="",B85="",C85="",E85="",F85="",G85="",H85="",J85="",K85="",L85="",M85=""),"不通过：缺少必填项",IF(COUNTIFS($B$5:$B$104,B85,$C$5:$C$104,C85)&gt;1,"不通过：设备项目码重复",IF(COUNTIF('设备台账'!$B$5:$B$104,B85)=0,"不通过：设备编码不存在",IF(COUNTIF('检验项目'!$B$5:$B$104,E85)=0,"不通过：LIS项目不存在",IF(AND(H85="数值",I85=""),"不通过：数值项目缺小数位","通过"))))))</x:f>
      </x:c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34"/>
      <x:c r="J86" s="22"/>
      <x:c r="K86" s="22"/>
      <x:c r="L86" s="22"/>
      <x:c r="M86" s="31"/>
      <x:c r="N86" s="22"/>
      <x:c r="O86" s="28" t="str">
        <x:f>IF(COUNTA(A86:N86)=0,"",IF(OR(A86="",B86="",C86="",E86="",F86="",G86="",H86="",J86="",K86="",L86="",M86=""),"不通过：缺少必填项",IF(COUNTIFS($B$5:$B$104,B86,$C$5:$C$104,C86)&gt;1,"不通过：设备项目码重复",IF(COUNTIF('设备台账'!$B$5:$B$104,B86)=0,"不通过：设备编码不存在",IF(COUNTIF('检验项目'!$B$5:$B$104,E86)=0,"不通过：LIS项目不存在",IF(AND(H86="数值",I86=""),"不通过：数值项目缺小数位","通过"))))))</x:f>
      </x:c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34"/>
      <x:c r="J87" s="22"/>
      <x:c r="K87" s="22"/>
      <x:c r="L87" s="22"/>
      <x:c r="M87" s="31"/>
      <x:c r="N87" s="22"/>
      <x:c r="O87" s="28" t="str">
        <x:f>IF(COUNTA(A87:N87)=0,"",IF(OR(A87="",B87="",C87="",E87="",F87="",G87="",H87="",J87="",K87="",L87="",M87=""),"不通过：缺少必填项",IF(COUNTIFS($B$5:$B$104,B87,$C$5:$C$104,C87)&gt;1,"不通过：设备项目码重复",IF(COUNTIF('设备台账'!$B$5:$B$104,B87)=0,"不通过：设备编码不存在",IF(COUNTIF('检验项目'!$B$5:$B$104,E87)=0,"不通过：LIS项目不存在",IF(AND(H87="数值",I87=""),"不通过：数值项目缺小数位","通过"))))))</x:f>
      </x:c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34"/>
      <x:c r="J88" s="22"/>
      <x:c r="K88" s="22"/>
      <x:c r="L88" s="22"/>
      <x:c r="M88" s="31"/>
      <x:c r="N88" s="22"/>
      <x:c r="O88" s="28" t="str">
        <x:f>IF(COUNTA(A88:N88)=0,"",IF(OR(A88="",B88="",C88="",E88="",F88="",G88="",H88="",J88="",K88="",L88="",M88=""),"不通过：缺少必填项",IF(COUNTIFS($B$5:$B$104,B88,$C$5:$C$104,C88)&gt;1,"不通过：设备项目码重复",IF(COUNTIF('设备台账'!$B$5:$B$104,B88)=0,"不通过：设备编码不存在",IF(COUNTIF('检验项目'!$B$5:$B$104,E88)=0,"不通过：LIS项目不存在",IF(AND(H88="数值",I88=""),"不通过：数值项目缺小数位","通过"))))))</x:f>
      </x:c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34"/>
      <x:c r="J89" s="22"/>
      <x:c r="K89" s="22"/>
      <x:c r="L89" s="22"/>
      <x:c r="M89" s="31"/>
      <x:c r="N89" s="22"/>
      <x:c r="O89" s="28" t="str">
        <x:f>IF(COUNTA(A89:N89)=0,"",IF(OR(A89="",B89="",C89="",E89="",F89="",G89="",H89="",J89="",K89="",L89="",M89=""),"不通过：缺少必填项",IF(COUNTIFS($B$5:$B$104,B89,$C$5:$C$104,C89)&gt;1,"不通过：设备项目码重复",IF(COUNTIF('设备台账'!$B$5:$B$104,B89)=0,"不通过：设备编码不存在",IF(COUNTIF('检验项目'!$B$5:$B$104,E89)=0,"不通过：LIS项目不存在",IF(AND(H89="数值",I89=""),"不通过：数值项目缺小数位","通过"))))))</x:f>
      </x:c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34"/>
      <x:c r="J90" s="22"/>
      <x:c r="K90" s="22"/>
      <x:c r="L90" s="22"/>
      <x:c r="M90" s="31"/>
      <x:c r="N90" s="22"/>
      <x:c r="O90" s="28" t="str">
        <x:f>IF(COUNTA(A90:N90)=0,"",IF(OR(A90="",B90="",C90="",E90="",F90="",G90="",H90="",J90="",K90="",L90="",M90=""),"不通过：缺少必填项",IF(COUNTIFS($B$5:$B$104,B90,$C$5:$C$104,C90)&gt;1,"不通过：设备项目码重复",IF(COUNTIF('设备台账'!$B$5:$B$104,B90)=0,"不通过：设备编码不存在",IF(COUNTIF('检验项目'!$B$5:$B$104,E90)=0,"不通过：LIS项目不存在",IF(AND(H90="数值",I90=""),"不通过：数值项目缺小数位","通过"))))))</x:f>
      </x:c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34"/>
      <x:c r="J91" s="22"/>
      <x:c r="K91" s="22"/>
      <x:c r="L91" s="22"/>
      <x:c r="M91" s="31"/>
      <x:c r="N91" s="22"/>
      <x:c r="O91" s="28" t="str">
        <x:f>IF(COUNTA(A91:N91)=0,"",IF(OR(A91="",B91="",C91="",E91="",F91="",G91="",H91="",J91="",K91="",L91="",M91=""),"不通过：缺少必填项",IF(COUNTIFS($B$5:$B$104,B91,$C$5:$C$104,C91)&gt;1,"不通过：设备项目码重复",IF(COUNTIF('设备台账'!$B$5:$B$104,B91)=0,"不通过：设备编码不存在",IF(COUNTIF('检验项目'!$B$5:$B$104,E91)=0,"不通过：LIS项目不存在",IF(AND(H91="数值",I91=""),"不通过：数值项目缺小数位","通过"))))))</x:f>
      </x:c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34"/>
      <x:c r="J92" s="22"/>
      <x:c r="K92" s="22"/>
      <x:c r="L92" s="22"/>
      <x:c r="M92" s="31"/>
      <x:c r="N92" s="22"/>
      <x:c r="O92" s="28" t="str">
        <x:f>IF(COUNTA(A92:N92)=0,"",IF(OR(A92="",B92="",C92="",E92="",F92="",G92="",H92="",J92="",K92="",L92="",M92=""),"不通过：缺少必填项",IF(COUNTIFS($B$5:$B$104,B92,$C$5:$C$104,C92)&gt;1,"不通过：设备项目码重复",IF(COUNTIF('设备台账'!$B$5:$B$104,B92)=0,"不通过：设备编码不存在",IF(COUNTIF('检验项目'!$B$5:$B$104,E92)=0,"不通过：LIS项目不存在",IF(AND(H92="数值",I92=""),"不通过：数值项目缺小数位","通过"))))))</x:f>
      </x:c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34"/>
      <x:c r="J93" s="22"/>
      <x:c r="K93" s="22"/>
      <x:c r="L93" s="22"/>
      <x:c r="M93" s="31"/>
      <x:c r="N93" s="22"/>
      <x:c r="O93" s="28" t="str">
        <x:f>IF(COUNTA(A93:N93)=0,"",IF(OR(A93="",B93="",C93="",E93="",F93="",G93="",H93="",J93="",K93="",L93="",M93=""),"不通过：缺少必填项",IF(COUNTIFS($B$5:$B$104,B93,$C$5:$C$104,C93)&gt;1,"不通过：设备项目码重复",IF(COUNTIF('设备台账'!$B$5:$B$104,B93)=0,"不通过：设备编码不存在",IF(COUNTIF('检验项目'!$B$5:$B$104,E93)=0,"不通过：LIS项目不存在",IF(AND(H93="数值",I93=""),"不通过：数值项目缺小数位","通过"))))))</x:f>
      </x:c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34"/>
      <x:c r="J94" s="22"/>
      <x:c r="K94" s="22"/>
      <x:c r="L94" s="22"/>
      <x:c r="M94" s="31"/>
      <x:c r="N94" s="22"/>
      <x:c r="O94" s="28" t="str">
        <x:f>IF(COUNTA(A94:N94)=0,"",IF(OR(A94="",B94="",C94="",E94="",F94="",G94="",H94="",J94="",K94="",L94="",M94=""),"不通过：缺少必填项",IF(COUNTIFS($B$5:$B$104,B94,$C$5:$C$104,C94)&gt;1,"不通过：设备项目码重复",IF(COUNTIF('设备台账'!$B$5:$B$104,B94)=0,"不通过：设备编码不存在",IF(COUNTIF('检验项目'!$B$5:$B$104,E94)=0,"不通过：LIS项目不存在",IF(AND(H94="数值",I94=""),"不通过：数值项目缺小数位","通过"))))))</x:f>
      </x:c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34"/>
      <x:c r="J95" s="22"/>
      <x:c r="K95" s="22"/>
      <x:c r="L95" s="22"/>
      <x:c r="M95" s="31"/>
      <x:c r="N95" s="22"/>
      <x:c r="O95" s="28" t="str">
        <x:f>IF(COUNTA(A95:N95)=0,"",IF(OR(A95="",B95="",C95="",E95="",F95="",G95="",H95="",J95="",K95="",L95="",M95=""),"不通过：缺少必填项",IF(COUNTIFS($B$5:$B$104,B95,$C$5:$C$104,C95)&gt;1,"不通过：设备项目码重复",IF(COUNTIF('设备台账'!$B$5:$B$104,B95)=0,"不通过：设备编码不存在",IF(COUNTIF('检验项目'!$B$5:$B$104,E95)=0,"不通过：LIS项目不存在",IF(AND(H95="数值",I95=""),"不通过：数值项目缺小数位","通过"))))))</x:f>
      </x:c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34"/>
      <x:c r="J96" s="22"/>
      <x:c r="K96" s="22"/>
      <x:c r="L96" s="22"/>
      <x:c r="M96" s="31"/>
      <x:c r="N96" s="22"/>
      <x:c r="O96" s="28" t="str">
        <x:f>IF(COUNTA(A96:N96)=0,"",IF(OR(A96="",B96="",C96="",E96="",F96="",G96="",H96="",J96="",K96="",L96="",M96=""),"不通过：缺少必填项",IF(COUNTIFS($B$5:$B$104,B96,$C$5:$C$104,C96)&gt;1,"不通过：设备项目码重复",IF(COUNTIF('设备台账'!$B$5:$B$104,B96)=0,"不通过：设备编码不存在",IF(COUNTIF('检验项目'!$B$5:$B$104,E96)=0,"不通过：LIS项目不存在",IF(AND(H96="数值",I96=""),"不通过：数值项目缺小数位","通过"))))))</x:f>
      </x:c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34"/>
      <x:c r="J97" s="22"/>
      <x:c r="K97" s="22"/>
      <x:c r="L97" s="22"/>
      <x:c r="M97" s="31"/>
      <x:c r="N97" s="22"/>
      <x:c r="O97" s="28" t="str">
        <x:f>IF(COUNTA(A97:N97)=0,"",IF(OR(A97="",B97="",C97="",E97="",F97="",G97="",H97="",J97="",K97="",L97="",M97=""),"不通过：缺少必填项",IF(COUNTIFS($B$5:$B$104,B97,$C$5:$C$104,C97)&gt;1,"不通过：设备项目码重复",IF(COUNTIF('设备台账'!$B$5:$B$104,B97)=0,"不通过：设备编码不存在",IF(COUNTIF('检验项目'!$B$5:$B$104,E97)=0,"不通过：LIS项目不存在",IF(AND(H97="数值",I97=""),"不通过：数值项目缺小数位","通过"))))))</x:f>
      </x:c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34"/>
      <x:c r="J98" s="22"/>
      <x:c r="K98" s="22"/>
      <x:c r="L98" s="22"/>
      <x:c r="M98" s="31"/>
      <x:c r="N98" s="22"/>
      <x:c r="O98" s="28" t="str">
        <x:f>IF(COUNTA(A98:N98)=0,"",IF(OR(A98="",B98="",C98="",E98="",F98="",G98="",H98="",J98="",K98="",L98="",M98=""),"不通过：缺少必填项",IF(COUNTIFS($B$5:$B$104,B98,$C$5:$C$104,C98)&gt;1,"不通过：设备项目码重复",IF(COUNTIF('设备台账'!$B$5:$B$104,B98)=0,"不通过：设备编码不存在",IF(COUNTIF('检验项目'!$B$5:$B$104,E98)=0,"不通过：LIS项目不存在",IF(AND(H98="数值",I98=""),"不通过：数值项目缺小数位","通过"))))))</x:f>
      </x:c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34"/>
      <x:c r="J99" s="22"/>
      <x:c r="K99" s="22"/>
      <x:c r="L99" s="22"/>
      <x:c r="M99" s="31"/>
      <x:c r="N99" s="22"/>
      <x:c r="O99" s="28" t="str">
        <x:f>IF(COUNTA(A99:N99)=0,"",IF(OR(A99="",B99="",C99="",E99="",F99="",G99="",H99="",J99="",K99="",L99="",M99=""),"不通过：缺少必填项",IF(COUNTIFS($B$5:$B$104,B99,$C$5:$C$104,C99)&gt;1,"不通过：设备项目码重复",IF(COUNTIF('设备台账'!$B$5:$B$104,B99)=0,"不通过：设备编码不存在",IF(COUNTIF('检验项目'!$B$5:$B$104,E99)=0,"不通过：LIS项目不存在",IF(AND(H99="数值",I99=""),"不通过：数值项目缺小数位","通过"))))))</x:f>
      </x:c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34"/>
      <x:c r="J100" s="22"/>
      <x:c r="K100" s="22"/>
      <x:c r="L100" s="22"/>
      <x:c r="M100" s="31"/>
      <x:c r="N100" s="22"/>
      <x:c r="O100" s="28" t="str">
        <x:f>IF(COUNTA(A100:N100)=0,"",IF(OR(A100="",B100="",C100="",E100="",F100="",G100="",H100="",J100="",K100="",L100="",M100=""),"不通过：缺少必填项",IF(COUNTIFS($B$5:$B$104,B100,$C$5:$C$104,C100)&gt;1,"不通过：设备项目码重复",IF(COUNTIF('设备台账'!$B$5:$B$104,B100)=0,"不通过：设备编码不存在",IF(COUNTIF('检验项目'!$B$5:$B$104,E100)=0,"不通过：LIS项目不存在",IF(AND(H100="数值",I100=""),"不通过：数值项目缺小数位","通过"))))))</x:f>
      </x:c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34"/>
      <x:c r="J101" s="22"/>
      <x:c r="K101" s="22"/>
      <x:c r="L101" s="22"/>
      <x:c r="M101" s="31"/>
      <x:c r="N101" s="22"/>
      <x:c r="O101" s="28" t="str">
        <x:f>IF(COUNTA(A101:N101)=0,"",IF(OR(A101="",B101="",C101="",E101="",F101="",G101="",H101="",J101="",K101="",L101="",M101=""),"不通过：缺少必填项",IF(COUNTIFS($B$5:$B$104,B101,$C$5:$C$104,C101)&gt;1,"不通过：设备项目码重复",IF(COUNTIF('设备台账'!$B$5:$B$104,B101)=0,"不通过：设备编码不存在",IF(COUNTIF('检验项目'!$B$5:$B$104,E101)=0,"不通过：LIS项目不存在",IF(AND(H101="数值",I101=""),"不通过：数值项目缺小数位","通过"))))))</x:f>
      </x:c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34"/>
      <x:c r="J102" s="22"/>
      <x:c r="K102" s="22"/>
      <x:c r="L102" s="22"/>
      <x:c r="M102" s="31"/>
      <x:c r="N102" s="22"/>
      <x:c r="O102" s="28" t="str">
        <x:f>IF(COUNTA(A102:N102)=0,"",IF(OR(A102="",B102="",C102="",E102="",F102="",G102="",H102="",J102="",K102="",L102="",M102=""),"不通过：缺少必填项",IF(COUNTIFS($B$5:$B$104,B102,$C$5:$C$104,C102)&gt;1,"不通过：设备项目码重复",IF(COUNTIF('设备台账'!$B$5:$B$104,B102)=0,"不通过：设备编码不存在",IF(COUNTIF('检验项目'!$B$5:$B$104,E102)=0,"不通过：LIS项目不存在",IF(AND(H102="数值",I102=""),"不通过：数值项目缺小数位","通过"))))))</x:f>
      </x:c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34"/>
      <x:c r="J103" s="22"/>
      <x:c r="K103" s="22"/>
      <x:c r="L103" s="22"/>
      <x:c r="M103" s="31"/>
      <x:c r="N103" s="22"/>
      <x:c r="O103" s="28" t="str">
        <x:f>IF(COUNTA(A103:N103)=0,"",IF(OR(A103="",B103="",C103="",E103="",F103="",G103="",H103="",J103="",K103="",L103="",M103=""),"不通过：缺少必填项",IF(COUNTIFS($B$5:$B$104,B103,$C$5:$C$104,C103)&gt;1,"不通过：设备项目码重复",IF(COUNTIF('设备台账'!$B$5:$B$104,B103)=0,"不通过：设备编码不存在",IF(COUNTIF('检验项目'!$B$5:$B$104,E103)=0,"不通过：LIS项目不存在",IF(AND(H103="数值",I103=""),"不通过：数值项目缺小数位","通过"))))))</x:f>
      </x:c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35"/>
      <x:c r="J104" s="23"/>
      <x:c r="K104" s="23"/>
      <x:c r="L104" s="23"/>
      <x:c r="M104" s="32"/>
      <x:c r="N104" s="23"/>
      <x:c r="O104" s="29" t="str">
        <x:f>IF(COUNTA(A104:N104)=0,"",IF(OR(A104="",B104="",C104="",E104="",F104="",G104="",H104="",J104="",K104="",L104="",M104=""),"不通过：缺少必填项",IF(COUNTIFS($B$5:$B$104,B104,$C$5:$C$104,C104)&gt;1,"不通过：设备项目码重复",IF(COUNTIF('设备台账'!$B$5:$B$104,B104)=0,"不通过：设备编码不存在",IF(COUNTIF('检验项目'!$B$5:$B$104,E104)=0,"不通过：LIS项目不存在",IF(AND(H104="数值",I104=""),"不通过：数值项目缺小数位","通过"))))))</x:f>
      </x:c>
    </x:row>
  </x:sheetData>
  <x:mergeCells>
    <x:mergeCell ref="A1:O1"/>
    <x:mergeCell ref="A2:O2"/>
  </x:mergeCells>
  <x:conditionalFormatting sqref="O5:O104">
    <x:cfRule type="beginsWith" dxfId="20" priority="1" operator="beginsWith" text="不通过"/>
    <x:cfRule type="cellIs" dxfId="21" priority="2" operator="equal">
      <x:formula>"通过"</x:formula>
    </x:cfRule>
  </x:conditionalFormatting>
  <x:dataValidations count="4">
    <x:dataValidation type="list" sqref="A5:A104">
      <x:formula1>"新增,修改,停用"</x:formula1>
    </x:dataValidation>
    <x:dataValidation type="list" sqref="H5:H104">
      <x:formula1>"数值,定性,文本,日期,多组件"</x:formula1>
    </x:dataValidation>
    <x:dataValidation type="list" sqref="J5:J104">
      <x:formula1>"患者结果,质控结果"</x:formula1>
    </x:dataValidation>
    <x:dataValidation type="list" sqref="K5:K104">
      <x:formula1>"启用,停用"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20" hidden="0" customWidth="1"/>
    <x:col min="7" max="7" width="24" hidden="0" customWidth="1"/>
    <x:col min="8" max="8" width="12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8" hidden="0" customWidth="1"/>
    <x:col min="14" max="14" width="32" hidden="0" customWidth="1"/>
  </x:cols>
  <x:sheetData>
    <x:row r="1" ht="32" customHeight="1">
      <x:c r="A1" s="3" t="str">
        <x:v>HIS、EMR、体检与LIS码表映射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2" customHeight="1">
      <x:c r="A2" s="7" t="str">
        <x:v>映射按来源系统和类型唯一。未知编码必须进入人工处理队列，不得自动选取同名记录；失效映射保留历史，不直接覆盖。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2" t="str">
        <x:v>数据状态*</x:v>
      </x:c>
      <x:c r="B4" s="12" t="str">
        <x:v>来源系统*</x:v>
      </x:c>
      <x:c r="C4" s="12" t="str">
        <x:v>映射类型*</x:v>
      </x:c>
      <x:c r="D4" s="12" t="str">
        <x:v>外部编码*</x:v>
      </x:c>
      <x:c r="E4" s="12" t="str">
        <x:v>外部名称</x:v>
      </x:c>
      <x:c r="F4" s="12" t="str">
        <x:v>LIS稳定编码*</x:v>
      </x:c>
      <x:c r="G4" s="12" t="str">
        <x:v>LIS名称*</x:v>
      </x:c>
      <x:c r="H4" s="12" t="str">
        <x:v>启用状态*</x:v>
      </x:c>
      <x:c r="I4" s="12" t="str">
        <x:v>生效日期*</x:v>
      </x:c>
      <x:c r="J4" s="12" t="str">
        <x:v>失效日期</x:v>
      </x:c>
      <x:c r="K4" s="12" t="str">
        <x:v>责任人*</x:v>
      </x:c>
      <x:c r="L4" s="12" t="str">
        <x:v>确认日期*</x:v>
      </x:c>
      <x:c r="M4" s="12" t="str">
        <x:v>备注</x:v>
      </x:c>
      <x:c r="N4" s="12" t="str">
        <x:v>校验结果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30"/>
      <x:c r="J5" s="30"/>
      <x:c r="K5" s="21"/>
      <x:c r="L5" s="30"/>
      <x:c r="M5" s="21"/>
      <x:c r="N5" s="27" t="str">
        <x:f>IF(COUNTA(A5:M5)=0,"",IF(OR(A5="",B5="",C5="",D5="",F5="",G5="",H5="",I5="",K5="",L5=""),"不通过：缺少必填项",IF(COUNTIFS($B$5:$B$104,B5,$C$5:$C$104,C5,$D$5:$D$104,D5)&gt;1,"不通过：来源码重复","通过")))</x:f>
      </x:c>
    </x:row>
    <x:row r="6">
      <x:c r="A6" s="22"/>
      <x:c r="B6" s="22"/>
      <x:c r="C6" s="22"/>
      <x:c r="D6" s="22"/>
      <x:c r="E6" s="22"/>
      <x:c r="F6" s="22"/>
      <x:c r="G6" s="22"/>
      <x:c r="H6" s="22"/>
      <x:c r="I6" s="31"/>
      <x:c r="J6" s="31"/>
      <x:c r="K6" s="22"/>
      <x:c r="L6" s="31"/>
      <x:c r="M6" s="22"/>
      <x:c r="N6" s="28" t="str">
        <x:f>IF(COUNTA(A6:M6)=0,"",IF(OR(A6="",B6="",C6="",D6="",F6="",G6="",H6="",I6="",K6="",L6=""),"不通过：缺少必填项",IF(COUNTIFS($B$5:$B$104,B6,$C$5:$C$104,C6,$D$5:$D$104,D6)&gt;1,"不通过：来源码重复","通过")))</x:f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31"/>
      <x:c r="J7" s="31"/>
      <x:c r="K7" s="22"/>
      <x:c r="L7" s="31"/>
      <x:c r="M7" s="22"/>
      <x:c r="N7" s="28" t="str">
        <x:f>IF(COUNTA(A7:M7)=0,"",IF(OR(A7="",B7="",C7="",D7="",F7="",G7="",H7="",I7="",K7="",L7=""),"不通过：缺少必填项",IF(COUNTIFS($B$5:$B$104,B7,$C$5:$C$104,C7,$D$5:$D$104,D7)&gt;1,"不通过：来源码重复","通过")))</x:f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31"/>
      <x:c r="J8" s="31"/>
      <x:c r="K8" s="22"/>
      <x:c r="L8" s="31"/>
      <x:c r="M8" s="22"/>
      <x:c r="N8" s="28" t="str">
        <x:f>IF(COUNTA(A8:M8)=0,"",IF(OR(A8="",B8="",C8="",D8="",F8="",G8="",H8="",I8="",K8="",L8=""),"不通过：缺少必填项",IF(COUNTIFS($B$5:$B$104,B8,$C$5:$C$104,C8,$D$5:$D$104,D8)&gt;1,"不通过：来源码重复","通过")))</x:f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31"/>
      <x:c r="J9" s="31"/>
      <x:c r="K9" s="22"/>
      <x:c r="L9" s="31"/>
      <x:c r="M9" s="22"/>
      <x:c r="N9" s="28" t="str">
        <x:f>IF(COUNTA(A9:M9)=0,"",IF(OR(A9="",B9="",C9="",D9="",F9="",G9="",H9="",I9="",K9="",L9=""),"不通过：缺少必填项",IF(COUNTIFS($B$5:$B$104,B9,$C$5:$C$104,C9,$D$5:$D$104,D9)&gt;1,"不通过：来源码重复","通过")))</x:f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31"/>
      <x:c r="J10" s="31"/>
      <x:c r="K10" s="22"/>
      <x:c r="L10" s="31"/>
      <x:c r="M10" s="22"/>
      <x:c r="N10" s="28" t="str">
        <x:f>IF(COUNTA(A10:M10)=0,"",IF(OR(A10="",B10="",C10="",D10="",F10="",G10="",H10="",I10="",K10="",L10=""),"不通过：缺少必填项",IF(COUNTIFS($B$5:$B$104,B10,$C$5:$C$104,C10,$D$5:$D$104,D10)&gt;1,"不通过：来源码重复","通过")))</x:f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31"/>
      <x:c r="J11" s="31"/>
      <x:c r="K11" s="22"/>
      <x:c r="L11" s="31"/>
      <x:c r="M11" s="22"/>
      <x:c r="N11" s="28" t="str">
        <x:f>IF(COUNTA(A11:M11)=0,"",IF(OR(A11="",B11="",C11="",D11="",F11="",G11="",H11="",I11="",K11="",L11=""),"不通过：缺少必填项",IF(COUNTIFS($B$5:$B$104,B11,$C$5:$C$104,C11,$D$5:$D$104,D11)&gt;1,"不通过：来源码重复","通过")))</x:f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31"/>
      <x:c r="J12" s="31"/>
      <x:c r="K12" s="22"/>
      <x:c r="L12" s="31"/>
      <x:c r="M12" s="22"/>
      <x:c r="N12" s="28" t="str">
        <x:f>IF(COUNTA(A12:M12)=0,"",IF(OR(A12="",B12="",C12="",D12="",F12="",G12="",H12="",I12="",K12="",L12=""),"不通过：缺少必填项",IF(COUNTIFS($B$5:$B$104,B12,$C$5:$C$104,C12,$D$5:$D$104,D12)&gt;1,"不通过：来源码重复","通过")))</x:f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31"/>
      <x:c r="J13" s="31"/>
      <x:c r="K13" s="22"/>
      <x:c r="L13" s="31"/>
      <x:c r="M13" s="22"/>
      <x:c r="N13" s="28" t="str">
        <x:f>IF(COUNTA(A13:M13)=0,"",IF(OR(A13="",B13="",C13="",D13="",F13="",G13="",H13="",I13="",K13="",L13=""),"不通过：缺少必填项",IF(COUNTIFS($B$5:$B$104,B13,$C$5:$C$104,C13,$D$5:$D$104,D13)&gt;1,"不通过：来源码重复","通过")))</x:f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31"/>
      <x:c r="J14" s="31"/>
      <x:c r="K14" s="22"/>
      <x:c r="L14" s="31"/>
      <x:c r="M14" s="22"/>
      <x:c r="N14" s="28" t="str">
        <x:f>IF(COUNTA(A14:M14)=0,"",IF(OR(A14="",B14="",C14="",D14="",F14="",G14="",H14="",I14="",K14="",L14=""),"不通过：缺少必填项",IF(COUNTIFS($B$5:$B$104,B14,$C$5:$C$104,C14,$D$5:$D$104,D14)&gt;1,"不通过：来源码重复","通过")))</x:f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31"/>
      <x:c r="J15" s="31"/>
      <x:c r="K15" s="22"/>
      <x:c r="L15" s="31"/>
      <x:c r="M15" s="22"/>
      <x:c r="N15" s="28" t="str">
        <x:f>IF(COUNTA(A15:M15)=0,"",IF(OR(A15="",B15="",C15="",D15="",F15="",G15="",H15="",I15="",K15="",L15=""),"不通过：缺少必填项",IF(COUNTIFS($B$5:$B$104,B15,$C$5:$C$104,C15,$D$5:$D$104,D15)&gt;1,"不通过：来源码重复","通过")))</x:f>
      </x:c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31"/>
      <x:c r="J16" s="31"/>
      <x:c r="K16" s="22"/>
      <x:c r="L16" s="31"/>
      <x:c r="M16" s="22"/>
      <x:c r="N16" s="28" t="str">
        <x:f>IF(COUNTA(A16:M16)=0,"",IF(OR(A16="",B16="",C16="",D16="",F16="",G16="",H16="",I16="",K16="",L16=""),"不通过：缺少必填项",IF(COUNTIFS($B$5:$B$104,B16,$C$5:$C$104,C16,$D$5:$D$104,D16)&gt;1,"不通过：来源码重复","通过")))</x:f>
      </x:c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31"/>
      <x:c r="J17" s="31"/>
      <x:c r="K17" s="22"/>
      <x:c r="L17" s="31"/>
      <x:c r="M17" s="22"/>
      <x:c r="N17" s="28" t="str">
        <x:f>IF(COUNTA(A17:M17)=0,"",IF(OR(A17="",B17="",C17="",D17="",F17="",G17="",H17="",I17="",K17="",L17=""),"不通过：缺少必填项",IF(COUNTIFS($B$5:$B$104,B17,$C$5:$C$104,C17,$D$5:$D$104,D17)&gt;1,"不通过：来源码重复","通过")))</x:f>
      </x:c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31"/>
      <x:c r="J18" s="31"/>
      <x:c r="K18" s="22"/>
      <x:c r="L18" s="31"/>
      <x:c r="M18" s="22"/>
      <x:c r="N18" s="28" t="str">
        <x:f>IF(COUNTA(A18:M18)=0,"",IF(OR(A18="",B18="",C18="",D18="",F18="",G18="",H18="",I18="",K18="",L18=""),"不通过：缺少必填项",IF(COUNTIFS($B$5:$B$104,B18,$C$5:$C$104,C18,$D$5:$D$104,D18)&gt;1,"不通过：来源码重复","通过")))</x:f>
      </x:c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31"/>
      <x:c r="J19" s="31"/>
      <x:c r="K19" s="22"/>
      <x:c r="L19" s="31"/>
      <x:c r="M19" s="22"/>
      <x:c r="N19" s="28" t="str">
        <x:f>IF(COUNTA(A19:M19)=0,"",IF(OR(A19="",B19="",C19="",D19="",F19="",G19="",H19="",I19="",K19="",L19=""),"不通过：缺少必填项",IF(COUNTIFS($B$5:$B$104,B19,$C$5:$C$104,C19,$D$5:$D$104,D19)&gt;1,"不通过：来源码重复","通过")))</x:f>
      </x:c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31"/>
      <x:c r="J20" s="31"/>
      <x:c r="K20" s="22"/>
      <x:c r="L20" s="31"/>
      <x:c r="M20" s="22"/>
      <x:c r="N20" s="28" t="str">
        <x:f>IF(COUNTA(A20:M20)=0,"",IF(OR(A20="",B20="",C20="",D20="",F20="",G20="",H20="",I20="",K20="",L20=""),"不通过：缺少必填项",IF(COUNTIFS($B$5:$B$104,B20,$C$5:$C$104,C20,$D$5:$D$104,D20)&gt;1,"不通过：来源码重复","通过")))</x:f>
      </x:c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31"/>
      <x:c r="J21" s="31"/>
      <x:c r="K21" s="22"/>
      <x:c r="L21" s="31"/>
      <x:c r="M21" s="22"/>
      <x:c r="N21" s="28" t="str">
        <x:f>IF(COUNTA(A21:M21)=0,"",IF(OR(A21="",B21="",C21="",D21="",F21="",G21="",H21="",I21="",K21="",L21=""),"不通过：缺少必填项",IF(COUNTIFS($B$5:$B$104,B21,$C$5:$C$104,C21,$D$5:$D$104,D21)&gt;1,"不通过：来源码重复","通过")))</x:f>
      </x:c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31"/>
      <x:c r="J22" s="31"/>
      <x:c r="K22" s="22"/>
      <x:c r="L22" s="31"/>
      <x:c r="M22" s="22"/>
      <x:c r="N22" s="28" t="str">
        <x:f>IF(COUNTA(A22:M22)=0,"",IF(OR(A22="",B22="",C22="",D22="",F22="",G22="",H22="",I22="",K22="",L22=""),"不通过：缺少必填项",IF(COUNTIFS($B$5:$B$104,B22,$C$5:$C$104,C22,$D$5:$D$104,D22)&gt;1,"不通过：来源码重复","通过")))</x:f>
      </x:c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31"/>
      <x:c r="J23" s="31"/>
      <x:c r="K23" s="22"/>
      <x:c r="L23" s="31"/>
      <x:c r="M23" s="22"/>
      <x:c r="N23" s="28" t="str">
        <x:f>IF(COUNTA(A23:M23)=0,"",IF(OR(A23="",B23="",C23="",D23="",F23="",G23="",H23="",I23="",K23="",L23=""),"不通过：缺少必填项",IF(COUNTIFS($B$5:$B$104,B23,$C$5:$C$104,C23,$D$5:$D$104,D23)&gt;1,"不通过：来源码重复","通过")))</x:f>
      </x:c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31"/>
      <x:c r="J24" s="31"/>
      <x:c r="K24" s="22"/>
      <x:c r="L24" s="31"/>
      <x:c r="M24" s="22"/>
      <x:c r="N24" s="28" t="str">
        <x:f>IF(COUNTA(A24:M24)=0,"",IF(OR(A24="",B24="",C24="",D24="",F24="",G24="",H24="",I24="",K24="",L24=""),"不通过：缺少必填项",IF(COUNTIFS($B$5:$B$104,B24,$C$5:$C$104,C24,$D$5:$D$104,D24)&gt;1,"不通过：来源码重复","通过")))</x:f>
      </x:c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31"/>
      <x:c r="J25" s="31"/>
      <x:c r="K25" s="22"/>
      <x:c r="L25" s="31"/>
      <x:c r="M25" s="22"/>
      <x:c r="N25" s="28" t="str">
        <x:f>IF(COUNTA(A25:M25)=0,"",IF(OR(A25="",B25="",C25="",D25="",F25="",G25="",H25="",I25="",K25="",L25=""),"不通过：缺少必填项",IF(COUNTIFS($B$5:$B$104,B25,$C$5:$C$104,C25,$D$5:$D$104,D25)&gt;1,"不通过：来源码重复","通过")))</x:f>
      </x:c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31"/>
      <x:c r="J26" s="31"/>
      <x:c r="K26" s="22"/>
      <x:c r="L26" s="31"/>
      <x:c r="M26" s="22"/>
      <x:c r="N26" s="28" t="str">
        <x:f>IF(COUNTA(A26:M26)=0,"",IF(OR(A26="",B26="",C26="",D26="",F26="",G26="",H26="",I26="",K26="",L26=""),"不通过：缺少必填项",IF(COUNTIFS($B$5:$B$104,B26,$C$5:$C$104,C26,$D$5:$D$104,D26)&gt;1,"不通过：来源码重复","通过")))</x:f>
      </x:c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31"/>
      <x:c r="J27" s="31"/>
      <x:c r="K27" s="22"/>
      <x:c r="L27" s="31"/>
      <x:c r="M27" s="22"/>
      <x:c r="N27" s="28" t="str">
        <x:f>IF(COUNTA(A27:M27)=0,"",IF(OR(A27="",B27="",C27="",D27="",F27="",G27="",H27="",I27="",K27="",L27=""),"不通过：缺少必填项",IF(COUNTIFS($B$5:$B$104,B27,$C$5:$C$104,C27,$D$5:$D$104,D27)&gt;1,"不通过：来源码重复","通过")))</x:f>
      </x:c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31"/>
      <x:c r="J28" s="31"/>
      <x:c r="K28" s="22"/>
      <x:c r="L28" s="31"/>
      <x:c r="M28" s="22"/>
      <x:c r="N28" s="28" t="str">
        <x:f>IF(COUNTA(A28:M28)=0,"",IF(OR(A28="",B28="",C28="",D28="",F28="",G28="",H28="",I28="",K28="",L28=""),"不通过：缺少必填项",IF(COUNTIFS($B$5:$B$104,B28,$C$5:$C$104,C28,$D$5:$D$104,D28)&gt;1,"不通过：来源码重复","通过")))</x:f>
      </x:c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31"/>
      <x:c r="J29" s="31"/>
      <x:c r="K29" s="22"/>
      <x:c r="L29" s="31"/>
      <x:c r="M29" s="22"/>
      <x:c r="N29" s="28" t="str">
        <x:f>IF(COUNTA(A29:M29)=0,"",IF(OR(A29="",B29="",C29="",D29="",F29="",G29="",H29="",I29="",K29="",L29=""),"不通过：缺少必填项",IF(COUNTIFS($B$5:$B$104,B29,$C$5:$C$104,C29,$D$5:$D$104,D29)&gt;1,"不通过：来源码重复","通过")))</x:f>
      </x:c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31"/>
      <x:c r="J30" s="31"/>
      <x:c r="K30" s="22"/>
      <x:c r="L30" s="31"/>
      <x:c r="M30" s="22"/>
      <x:c r="N30" s="28" t="str">
        <x:f>IF(COUNTA(A30:M30)=0,"",IF(OR(A30="",B30="",C30="",D30="",F30="",G30="",H30="",I30="",K30="",L30=""),"不通过：缺少必填项",IF(COUNTIFS($B$5:$B$104,B30,$C$5:$C$104,C30,$D$5:$D$104,D30)&gt;1,"不通过：来源码重复","通过")))</x:f>
      </x:c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31"/>
      <x:c r="J31" s="31"/>
      <x:c r="K31" s="22"/>
      <x:c r="L31" s="31"/>
      <x:c r="M31" s="22"/>
      <x:c r="N31" s="28" t="str">
        <x:f>IF(COUNTA(A31:M31)=0,"",IF(OR(A31="",B31="",C31="",D31="",F31="",G31="",H31="",I31="",K31="",L31=""),"不通过：缺少必填项",IF(COUNTIFS($B$5:$B$104,B31,$C$5:$C$104,C31,$D$5:$D$104,D31)&gt;1,"不通过：来源码重复","通过")))</x:f>
      </x:c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31"/>
      <x:c r="J32" s="31"/>
      <x:c r="K32" s="22"/>
      <x:c r="L32" s="31"/>
      <x:c r="M32" s="22"/>
      <x:c r="N32" s="28" t="str">
        <x:f>IF(COUNTA(A32:M32)=0,"",IF(OR(A32="",B32="",C32="",D32="",F32="",G32="",H32="",I32="",K32="",L32=""),"不通过：缺少必填项",IF(COUNTIFS($B$5:$B$104,B32,$C$5:$C$104,C32,$D$5:$D$104,D32)&gt;1,"不通过：来源码重复","通过")))</x:f>
      </x:c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31"/>
      <x:c r="J33" s="31"/>
      <x:c r="K33" s="22"/>
      <x:c r="L33" s="31"/>
      <x:c r="M33" s="22"/>
      <x:c r="N33" s="28" t="str">
        <x:f>IF(COUNTA(A33:M33)=0,"",IF(OR(A33="",B33="",C33="",D33="",F33="",G33="",H33="",I33="",K33="",L33=""),"不通过：缺少必填项",IF(COUNTIFS($B$5:$B$104,B33,$C$5:$C$104,C33,$D$5:$D$104,D33)&gt;1,"不通过：来源码重复","通过")))</x:f>
      </x:c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31"/>
      <x:c r="J34" s="31"/>
      <x:c r="K34" s="22"/>
      <x:c r="L34" s="31"/>
      <x:c r="M34" s="22"/>
      <x:c r="N34" s="28" t="str">
        <x:f>IF(COUNTA(A34:M34)=0,"",IF(OR(A34="",B34="",C34="",D34="",F34="",G34="",H34="",I34="",K34="",L34=""),"不通过：缺少必填项",IF(COUNTIFS($B$5:$B$104,B34,$C$5:$C$104,C34,$D$5:$D$104,D34)&gt;1,"不通过：来源码重复","通过")))</x:f>
      </x:c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31"/>
      <x:c r="J35" s="31"/>
      <x:c r="K35" s="22"/>
      <x:c r="L35" s="31"/>
      <x:c r="M35" s="22"/>
      <x:c r="N35" s="28" t="str">
        <x:f>IF(COUNTA(A35:M35)=0,"",IF(OR(A35="",B35="",C35="",D35="",F35="",G35="",H35="",I35="",K35="",L35=""),"不通过：缺少必填项",IF(COUNTIFS($B$5:$B$104,B35,$C$5:$C$104,C35,$D$5:$D$104,D35)&gt;1,"不通过：来源码重复","通过")))</x:f>
      </x:c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31"/>
      <x:c r="J36" s="31"/>
      <x:c r="K36" s="22"/>
      <x:c r="L36" s="31"/>
      <x:c r="M36" s="22"/>
      <x:c r="N36" s="28" t="str">
        <x:f>IF(COUNTA(A36:M36)=0,"",IF(OR(A36="",B36="",C36="",D36="",F36="",G36="",H36="",I36="",K36="",L36=""),"不通过：缺少必填项",IF(COUNTIFS($B$5:$B$104,B36,$C$5:$C$104,C36,$D$5:$D$104,D36)&gt;1,"不通过：来源码重复","通过")))</x:f>
      </x:c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31"/>
      <x:c r="J37" s="31"/>
      <x:c r="K37" s="22"/>
      <x:c r="L37" s="31"/>
      <x:c r="M37" s="22"/>
      <x:c r="N37" s="28" t="str">
        <x:f>IF(COUNTA(A37:M37)=0,"",IF(OR(A37="",B37="",C37="",D37="",F37="",G37="",H37="",I37="",K37="",L37=""),"不通过：缺少必填项",IF(COUNTIFS($B$5:$B$104,B37,$C$5:$C$104,C37,$D$5:$D$104,D37)&gt;1,"不通过：来源码重复","通过")))</x:f>
      </x:c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31"/>
      <x:c r="J38" s="31"/>
      <x:c r="K38" s="22"/>
      <x:c r="L38" s="31"/>
      <x:c r="M38" s="22"/>
      <x:c r="N38" s="28" t="str">
        <x:f>IF(COUNTA(A38:M38)=0,"",IF(OR(A38="",B38="",C38="",D38="",F38="",G38="",H38="",I38="",K38="",L38=""),"不通过：缺少必填项",IF(COUNTIFS($B$5:$B$104,B38,$C$5:$C$104,C38,$D$5:$D$104,D38)&gt;1,"不通过：来源码重复","通过")))</x:f>
      </x:c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31"/>
      <x:c r="J39" s="31"/>
      <x:c r="K39" s="22"/>
      <x:c r="L39" s="31"/>
      <x:c r="M39" s="22"/>
      <x:c r="N39" s="28" t="str">
        <x:f>IF(COUNTA(A39:M39)=0,"",IF(OR(A39="",B39="",C39="",D39="",F39="",G39="",H39="",I39="",K39="",L39=""),"不通过：缺少必填项",IF(COUNTIFS($B$5:$B$104,B39,$C$5:$C$104,C39,$D$5:$D$104,D39)&gt;1,"不通过：来源码重复","通过")))</x:f>
      </x:c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31"/>
      <x:c r="J40" s="31"/>
      <x:c r="K40" s="22"/>
      <x:c r="L40" s="31"/>
      <x:c r="M40" s="22"/>
      <x:c r="N40" s="28" t="str">
        <x:f>IF(COUNTA(A40:M40)=0,"",IF(OR(A40="",B40="",C40="",D40="",F40="",G40="",H40="",I40="",K40="",L40=""),"不通过：缺少必填项",IF(COUNTIFS($B$5:$B$104,B40,$C$5:$C$104,C40,$D$5:$D$104,D40)&gt;1,"不通过：来源码重复","通过")))</x:f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31"/>
      <x:c r="J41" s="31"/>
      <x:c r="K41" s="22"/>
      <x:c r="L41" s="31"/>
      <x:c r="M41" s="22"/>
      <x:c r="N41" s="28" t="str">
        <x:f>IF(COUNTA(A41:M41)=0,"",IF(OR(A41="",B41="",C41="",D41="",F41="",G41="",H41="",I41="",K41="",L41=""),"不通过：缺少必填项",IF(COUNTIFS($B$5:$B$104,B41,$C$5:$C$104,C41,$D$5:$D$104,D41)&gt;1,"不通过：来源码重复","通过")))</x:f>
      </x:c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31"/>
      <x:c r="J42" s="31"/>
      <x:c r="K42" s="22"/>
      <x:c r="L42" s="31"/>
      <x:c r="M42" s="22"/>
      <x:c r="N42" s="28" t="str">
        <x:f>IF(COUNTA(A42:M42)=0,"",IF(OR(A42="",B42="",C42="",D42="",F42="",G42="",H42="",I42="",K42="",L42=""),"不通过：缺少必填项",IF(COUNTIFS($B$5:$B$104,B42,$C$5:$C$104,C42,$D$5:$D$104,D42)&gt;1,"不通过：来源码重复","通过")))</x:f>
      </x:c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31"/>
      <x:c r="J43" s="31"/>
      <x:c r="K43" s="22"/>
      <x:c r="L43" s="31"/>
      <x:c r="M43" s="22"/>
      <x:c r="N43" s="28" t="str">
        <x:f>IF(COUNTA(A43:M43)=0,"",IF(OR(A43="",B43="",C43="",D43="",F43="",G43="",H43="",I43="",K43="",L43=""),"不通过：缺少必填项",IF(COUNTIFS($B$5:$B$104,B43,$C$5:$C$104,C43,$D$5:$D$104,D43)&gt;1,"不通过：来源码重复","通过")))</x:f>
      </x:c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31"/>
      <x:c r="J44" s="31"/>
      <x:c r="K44" s="22"/>
      <x:c r="L44" s="31"/>
      <x:c r="M44" s="22"/>
      <x:c r="N44" s="28" t="str">
        <x:f>IF(COUNTA(A44:M44)=0,"",IF(OR(A44="",B44="",C44="",D44="",F44="",G44="",H44="",I44="",K44="",L44=""),"不通过：缺少必填项",IF(COUNTIFS($B$5:$B$104,B44,$C$5:$C$104,C44,$D$5:$D$104,D44)&gt;1,"不通过：来源码重复","通过")))</x:f>
      </x:c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31"/>
      <x:c r="J45" s="31"/>
      <x:c r="K45" s="22"/>
      <x:c r="L45" s="31"/>
      <x:c r="M45" s="22"/>
      <x:c r="N45" s="28" t="str">
        <x:f>IF(COUNTA(A45:M45)=0,"",IF(OR(A45="",B45="",C45="",D45="",F45="",G45="",H45="",I45="",K45="",L45=""),"不通过：缺少必填项",IF(COUNTIFS($B$5:$B$104,B45,$C$5:$C$104,C45,$D$5:$D$104,D45)&gt;1,"不通过：来源码重复","通过")))</x:f>
      </x:c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31"/>
      <x:c r="J46" s="31"/>
      <x:c r="K46" s="22"/>
      <x:c r="L46" s="31"/>
      <x:c r="M46" s="22"/>
      <x:c r="N46" s="28" t="str">
        <x:f>IF(COUNTA(A46:M46)=0,"",IF(OR(A46="",B46="",C46="",D46="",F46="",G46="",H46="",I46="",K46="",L46=""),"不通过：缺少必填项",IF(COUNTIFS($B$5:$B$104,B46,$C$5:$C$104,C46,$D$5:$D$104,D46)&gt;1,"不通过：来源码重复","通过")))</x:f>
      </x:c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31"/>
      <x:c r="J47" s="31"/>
      <x:c r="K47" s="22"/>
      <x:c r="L47" s="31"/>
      <x:c r="M47" s="22"/>
      <x:c r="N47" s="28" t="str">
        <x:f>IF(COUNTA(A47:M47)=0,"",IF(OR(A47="",B47="",C47="",D47="",F47="",G47="",H47="",I47="",K47="",L47=""),"不通过：缺少必填项",IF(COUNTIFS($B$5:$B$104,B47,$C$5:$C$104,C47,$D$5:$D$104,D47)&gt;1,"不通过：来源码重复","通过")))</x:f>
      </x:c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31"/>
      <x:c r="J48" s="31"/>
      <x:c r="K48" s="22"/>
      <x:c r="L48" s="31"/>
      <x:c r="M48" s="22"/>
      <x:c r="N48" s="28" t="str">
        <x:f>IF(COUNTA(A48:M48)=0,"",IF(OR(A48="",B48="",C48="",D48="",F48="",G48="",H48="",I48="",K48="",L48=""),"不通过：缺少必填项",IF(COUNTIFS($B$5:$B$104,B48,$C$5:$C$104,C48,$D$5:$D$104,D48)&gt;1,"不通过：来源码重复","通过")))</x:f>
      </x:c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31"/>
      <x:c r="J49" s="31"/>
      <x:c r="K49" s="22"/>
      <x:c r="L49" s="31"/>
      <x:c r="M49" s="22"/>
      <x:c r="N49" s="28" t="str">
        <x:f>IF(COUNTA(A49:M49)=0,"",IF(OR(A49="",B49="",C49="",D49="",F49="",G49="",H49="",I49="",K49="",L49=""),"不通过：缺少必填项",IF(COUNTIFS($B$5:$B$104,B49,$C$5:$C$104,C49,$D$5:$D$104,D49)&gt;1,"不通过：来源码重复","通过")))</x:f>
      </x:c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31"/>
      <x:c r="J50" s="31"/>
      <x:c r="K50" s="22"/>
      <x:c r="L50" s="31"/>
      <x:c r="M50" s="22"/>
      <x:c r="N50" s="28" t="str">
        <x:f>IF(COUNTA(A50:M50)=0,"",IF(OR(A50="",B50="",C50="",D50="",F50="",G50="",H50="",I50="",K50="",L50=""),"不通过：缺少必填项",IF(COUNTIFS($B$5:$B$104,B50,$C$5:$C$104,C50,$D$5:$D$104,D50)&gt;1,"不通过：来源码重复","通过")))</x:f>
      </x:c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31"/>
      <x:c r="J51" s="31"/>
      <x:c r="K51" s="22"/>
      <x:c r="L51" s="31"/>
      <x:c r="M51" s="22"/>
      <x:c r="N51" s="28" t="str">
        <x:f>IF(COUNTA(A51:M51)=0,"",IF(OR(A51="",B51="",C51="",D51="",F51="",G51="",H51="",I51="",K51="",L51=""),"不通过：缺少必填项",IF(COUNTIFS($B$5:$B$104,B51,$C$5:$C$104,C51,$D$5:$D$104,D51)&gt;1,"不通过：来源码重复","通过")))</x:f>
      </x:c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31"/>
      <x:c r="J52" s="31"/>
      <x:c r="K52" s="22"/>
      <x:c r="L52" s="31"/>
      <x:c r="M52" s="22"/>
      <x:c r="N52" s="28" t="str">
        <x:f>IF(COUNTA(A52:M52)=0,"",IF(OR(A52="",B52="",C52="",D52="",F52="",G52="",H52="",I52="",K52="",L52=""),"不通过：缺少必填项",IF(COUNTIFS($B$5:$B$104,B52,$C$5:$C$104,C52,$D$5:$D$104,D52)&gt;1,"不通过：来源码重复","通过")))</x:f>
      </x:c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31"/>
      <x:c r="J53" s="31"/>
      <x:c r="K53" s="22"/>
      <x:c r="L53" s="31"/>
      <x:c r="M53" s="22"/>
      <x:c r="N53" s="28" t="str">
        <x:f>IF(COUNTA(A53:M53)=0,"",IF(OR(A53="",B53="",C53="",D53="",F53="",G53="",H53="",I53="",K53="",L53=""),"不通过：缺少必填项",IF(COUNTIFS($B$5:$B$104,B53,$C$5:$C$104,C53,$D$5:$D$104,D53)&gt;1,"不通过：来源码重复","通过")))</x:f>
      </x:c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31"/>
      <x:c r="J54" s="31"/>
      <x:c r="K54" s="22"/>
      <x:c r="L54" s="31"/>
      <x:c r="M54" s="22"/>
      <x:c r="N54" s="28" t="str">
        <x:f>IF(COUNTA(A54:M54)=0,"",IF(OR(A54="",B54="",C54="",D54="",F54="",G54="",H54="",I54="",K54="",L54=""),"不通过：缺少必填项",IF(COUNTIFS($B$5:$B$104,B54,$C$5:$C$104,C54,$D$5:$D$104,D54)&gt;1,"不通过：来源码重复","通过")))</x:f>
      </x:c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31"/>
      <x:c r="J55" s="31"/>
      <x:c r="K55" s="22"/>
      <x:c r="L55" s="31"/>
      <x:c r="M55" s="22"/>
      <x:c r="N55" s="28" t="str">
        <x:f>IF(COUNTA(A55:M55)=0,"",IF(OR(A55="",B55="",C55="",D55="",F55="",G55="",H55="",I55="",K55="",L55=""),"不通过：缺少必填项",IF(COUNTIFS($B$5:$B$104,B55,$C$5:$C$104,C55,$D$5:$D$104,D55)&gt;1,"不通过：来源码重复","通过")))</x:f>
      </x:c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31"/>
      <x:c r="J56" s="31"/>
      <x:c r="K56" s="22"/>
      <x:c r="L56" s="31"/>
      <x:c r="M56" s="22"/>
      <x:c r="N56" s="28" t="str">
        <x:f>IF(COUNTA(A56:M56)=0,"",IF(OR(A56="",B56="",C56="",D56="",F56="",G56="",H56="",I56="",K56="",L56=""),"不通过：缺少必填项",IF(COUNTIFS($B$5:$B$104,B56,$C$5:$C$104,C56,$D$5:$D$104,D56)&gt;1,"不通过：来源码重复","通过")))</x:f>
      </x:c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31"/>
      <x:c r="J57" s="31"/>
      <x:c r="K57" s="22"/>
      <x:c r="L57" s="31"/>
      <x:c r="M57" s="22"/>
      <x:c r="N57" s="28" t="str">
        <x:f>IF(COUNTA(A57:M57)=0,"",IF(OR(A57="",B57="",C57="",D57="",F57="",G57="",H57="",I57="",K57="",L57=""),"不通过：缺少必填项",IF(COUNTIFS($B$5:$B$104,B57,$C$5:$C$104,C57,$D$5:$D$104,D57)&gt;1,"不通过：来源码重复","通过")))</x:f>
      </x:c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31"/>
      <x:c r="J58" s="31"/>
      <x:c r="K58" s="22"/>
      <x:c r="L58" s="31"/>
      <x:c r="M58" s="22"/>
      <x:c r="N58" s="28" t="str">
        <x:f>IF(COUNTA(A58:M58)=0,"",IF(OR(A58="",B58="",C58="",D58="",F58="",G58="",H58="",I58="",K58="",L58=""),"不通过：缺少必填项",IF(COUNTIFS($B$5:$B$104,B58,$C$5:$C$104,C58,$D$5:$D$104,D58)&gt;1,"不通过：来源码重复","通过")))</x:f>
      </x:c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31"/>
      <x:c r="J59" s="31"/>
      <x:c r="K59" s="22"/>
      <x:c r="L59" s="31"/>
      <x:c r="M59" s="22"/>
      <x:c r="N59" s="28" t="str">
        <x:f>IF(COUNTA(A59:M59)=0,"",IF(OR(A59="",B59="",C59="",D59="",F59="",G59="",H59="",I59="",K59="",L59=""),"不通过：缺少必填项",IF(COUNTIFS($B$5:$B$104,B59,$C$5:$C$104,C59,$D$5:$D$104,D59)&gt;1,"不通过：来源码重复","通过")))</x:f>
      </x:c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31"/>
      <x:c r="J60" s="31"/>
      <x:c r="K60" s="22"/>
      <x:c r="L60" s="31"/>
      <x:c r="M60" s="22"/>
      <x:c r="N60" s="28" t="str">
        <x:f>IF(COUNTA(A60:M60)=0,"",IF(OR(A60="",B60="",C60="",D60="",F60="",G60="",H60="",I60="",K60="",L60=""),"不通过：缺少必填项",IF(COUNTIFS($B$5:$B$104,B60,$C$5:$C$104,C60,$D$5:$D$104,D60)&gt;1,"不通过：来源码重复","通过")))</x:f>
      </x:c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31"/>
      <x:c r="J61" s="31"/>
      <x:c r="K61" s="22"/>
      <x:c r="L61" s="31"/>
      <x:c r="M61" s="22"/>
      <x:c r="N61" s="28" t="str">
        <x:f>IF(COUNTA(A61:M61)=0,"",IF(OR(A61="",B61="",C61="",D61="",F61="",G61="",H61="",I61="",K61="",L61=""),"不通过：缺少必填项",IF(COUNTIFS($B$5:$B$104,B61,$C$5:$C$104,C61,$D$5:$D$104,D61)&gt;1,"不通过：来源码重复","通过")))</x:f>
      </x:c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31"/>
      <x:c r="J62" s="31"/>
      <x:c r="K62" s="22"/>
      <x:c r="L62" s="31"/>
      <x:c r="M62" s="22"/>
      <x:c r="N62" s="28" t="str">
        <x:f>IF(COUNTA(A62:M62)=0,"",IF(OR(A62="",B62="",C62="",D62="",F62="",G62="",H62="",I62="",K62="",L62=""),"不通过：缺少必填项",IF(COUNTIFS($B$5:$B$104,B62,$C$5:$C$104,C62,$D$5:$D$104,D62)&gt;1,"不通过：来源码重复","通过")))</x:f>
      </x:c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31"/>
      <x:c r="J63" s="31"/>
      <x:c r="K63" s="22"/>
      <x:c r="L63" s="31"/>
      <x:c r="M63" s="22"/>
      <x:c r="N63" s="28" t="str">
        <x:f>IF(COUNTA(A63:M63)=0,"",IF(OR(A63="",B63="",C63="",D63="",F63="",G63="",H63="",I63="",K63="",L63=""),"不通过：缺少必填项",IF(COUNTIFS($B$5:$B$104,B63,$C$5:$C$104,C63,$D$5:$D$104,D63)&gt;1,"不通过：来源码重复","通过")))</x:f>
      </x:c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31"/>
      <x:c r="J64" s="31"/>
      <x:c r="K64" s="22"/>
      <x:c r="L64" s="31"/>
      <x:c r="M64" s="22"/>
      <x:c r="N64" s="28" t="str">
        <x:f>IF(COUNTA(A64:M64)=0,"",IF(OR(A64="",B64="",C64="",D64="",F64="",G64="",H64="",I64="",K64="",L64=""),"不通过：缺少必填项",IF(COUNTIFS($B$5:$B$104,B64,$C$5:$C$104,C64,$D$5:$D$104,D64)&gt;1,"不通过：来源码重复","通过")))</x:f>
      </x:c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31"/>
      <x:c r="J65" s="31"/>
      <x:c r="K65" s="22"/>
      <x:c r="L65" s="31"/>
      <x:c r="M65" s="22"/>
      <x:c r="N65" s="28" t="str">
        <x:f>IF(COUNTA(A65:M65)=0,"",IF(OR(A65="",B65="",C65="",D65="",F65="",G65="",H65="",I65="",K65="",L65=""),"不通过：缺少必填项",IF(COUNTIFS($B$5:$B$104,B65,$C$5:$C$104,C65,$D$5:$D$104,D65)&gt;1,"不通过：来源码重复","通过")))</x:f>
      </x:c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31"/>
      <x:c r="J66" s="31"/>
      <x:c r="K66" s="22"/>
      <x:c r="L66" s="31"/>
      <x:c r="M66" s="22"/>
      <x:c r="N66" s="28" t="str">
        <x:f>IF(COUNTA(A66:M66)=0,"",IF(OR(A66="",B66="",C66="",D66="",F66="",G66="",H66="",I66="",K66="",L66=""),"不通过：缺少必填项",IF(COUNTIFS($B$5:$B$104,B66,$C$5:$C$104,C66,$D$5:$D$104,D66)&gt;1,"不通过：来源码重复","通过")))</x:f>
      </x:c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31"/>
      <x:c r="J67" s="31"/>
      <x:c r="K67" s="22"/>
      <x:c r="L67" s="31"/>
      <x:c r="M67" s="22"/>
      <x:c r="N67" s="28" t="str">
        <x:f>IF(COUNTA(A67:M67)=0,"",IF(OR(A67="",B67="",C67="",D67="",F67="",G67="",H67="",I67="",K67="",L67=""),"不通过：缺少必填项",IF(COUNTIFS($B$5:$B$104,B67,$C$5:$C$104,C67,$D$5:$D$104,D67)&gt;1,"不通过：来源码重复","通过")))</x:f>
      </x:c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31"/>
      <x:c r="J68" s="31"/>
      <x:c r="K68" s="22"/>
      <x:c r="L68" s="31"/>
      <x:c r="M68" s="22"/>
      <x:c r="N68" s="28" t="str">
        <x:f>IF(COUNTA(A68:M68)=0,"",IF(OR(A68="",B68="",C68="",D68="",F68="",G68="",H68="",I68="",K68="",L68=""),"不通过：缺少必填项",IF(COUNTIFS($B$5:$B$104,B68,$C$5:$C$104,C68,$D$5:$D$104,D68)&gt;1,"不通过：来源码重复","通过")))</x:f>
      </x:c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31"/>
      <x:c r="J69" s="31"/>
      <x:c r="K69" s="22"/>
      <x:c r="L69" s="31"/>
      <x:c r="M69" s="22"/>
      <x:c r="N69" s="28" t="str">
        <x:f>IF(COUNTA(A69:M69)=0,"",IF(OR(A69="",B69="",C69="",D69="",F69="",G69="",H69="",I69="",K69="",L69=""),"不通过：缺少必填项",IF(COUNTIFS($B$5:$B$104,B69,$C$5:$C$104,C69,$D$5:$D$104,D69)&gt;1,"不通过：来源码重复","通过")))</x:f>
      </x:c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31"/>
      <x:c r="J70" s="31"/>
      <x:c r="K70" s="22"/>
      <x:c r="L70" s="31"/>
      <x:c r="M70" s="22"/>
      <x:c r="N70" s="28" t="str">
        <x:f>IF(COUNTA(A70:M70)=0,"",IF(OR(A70="",B70="",C70="",D70="",F70="",G70="",H70="",I70="",K70="",L70=""),"不通过：缺少必填项",IF(COUNTIFS($B$5:$B$104,B70,$C$5:$C$104,C70,$D$5:$D$104,D70)&gt;1,"不通过：来源码重复","通过")))</x:f>
      </x:c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31"/>
      <x:c r="J71" s="31"/>
      <x:c r="K71" s="22"/>
      <x:c r="L71" s="31"/>
      <x:c r="M71" s="22"/>
      <x:c r="N71" s="28" t="str">
        <x:f>IF(COUNTA(A71:M71)=0,"",IF(OR(A71="",B71="",C71="",D71="",F71="",G71="",H71="",I71="",K71="",L71=""),"不通过：缺少必填项",IF(COUNTIFS($B$5:$B$104,B71,$C$5:$C$104,C71,$D$5:$D$104,D71)&gt;1,"不通过：来源码重复","通过")))</x:f>
      </x:c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31"/>
      <x:c r="J72" s="31"/>
      <x:c r="K72" s="22"/>
      <x:c r="L72" s="31"/>
      <x:c r="M72" s="22"/>
      <x:c r="N72" s="28" t="str">
        <x:f>IF(COUNTA(A72:M72)=0,"",IF(OR(A72="",B72="",C72="",D72="",F72="",G72="",H72="",I72="",K72="",L72=""),"不通过：缺少必填项",IF(COUNTIFS($B$5:$B$104,B72,$C$5:$C$104,C72,$D$5:$D$104,D72)&gt;1,"不通过：来源码重复","通过")))</x:f>
      </x:c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31"/>
      <x:c r="J73" s="31"/>
      <x:c r="K73" s="22"/>
      <x:c r="L73" s="31"/>
      <x:c r="M73" s="22"/>
      <x:c r="N73" s="28" t="str">
        <x:f>IF(COUNTA(A73:M73)=0,"",IF(OR(A73="",B73="",C73="",D73="",F73="",G73="",H73="",I73="",K73="",L73=""),"不通过：缺少必填项",IF(COUNTIFS($B$5:$B$104,B73,$C$5:$C$104,C73,$D$5:$D$104,D73)&gt;1,"不通过：来源码重复","通过")))</x:f>
      </x:c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31"/>
      <x:c r="J74" s="31"/>
      <x:c r="K74" s="22"/>
      <x:c r="L74" s="31"/>
      <x:c r="M74" s="22"/>
      <x:c r="N74" s="28" t="str">
        <x:f>IF(COUNTA(A74:M74)=0,"",IF(OR(A74="",B74="",C74="",D74="",F74="",G74="",H74="",I74="",K74="",L74=""),"不通过：缺少必填项",IF(COUNTIFS($B$5:$B$104,B74,$C$5:$C$104,C74,$D$5:$D$104,D74)&gt;1,"不通过：来源码重复","通过")))</x:f>
      </x:c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31"/>
      <x:c r="J75" s="31"/>
      <x:c r="K75" s="22"/>
      <x:c r="L75" s="31"/>
      <x:c r="M75" s="22"/>
      <x:c r="N75" s="28" t="str">
        <x:f>IF(COUNTA(A75:M75)=0,"",IF(OR(A75="",B75="",C75="",D75="",F75="",G75="",H75="",I75="",K75="",L75=""),"不通过：缺少必填项",IF(COUNTIFS($B$5:$B$104,B75,$C$5:$C$104,C75,$D$5:$D$104,D75)&gt;1,"不通过：来源码重复","通过")))</x:f>
      </x:c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31"/>
      <x:c r="J76" s="31"/>
      <x:c r="K76" s="22"/>
      <x:c r="L76" s="31"/>
      <x:c r="M76" s="22"/>
      <x:c r="N76" s="28" t="str">
        <x:f>IF(COUNTA(A76:M76)=0,"",IF(OR(A76="",B76="",C76="",D76="",F76="",G76="",H76="",I76="",K76="",L76=""),"不通过：缺少必填项",IF(COUNTIFS($B$5:$B$104,B76,$C$5:$C$104,C76,$D$5:$D$104,D76)&gt;1,"不通过：来源码重复","通过")))</x:f>
      </x:c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31"/>
      <x:c r="J77" s="31"/>
      <x:c r="K77" s="22"/>
      <x:c r="L77" s="31"/>
      <x:c r="M77" s="22"/>
      <x:c r="N77" s="28" t="str">
        <x:f>IF(COUNTA(A77:M77)=0,"",IF(OR(A77="",B77="",C77="",D77="",F77="",G77="",H77="",I77="",K77="",L77=""),"不通过：缺少必填项",IF(COUNTIFS($B$5:$B$104,B77,$C$5:$C$104,C77,$D$5:$D$104,D77)&gt;1,"不通过：来源码重复","通过")))</x:f>
      </x:c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31"/>
      <x:c r="J78" s="31"/>
      <x:c r="K78" s="22"/>
      <x:c r="L78" s="31"/>
      <x:c r="M78" s="22"/>
      <x:c r="N78" s="28" t="str">
        <x:f>IF(COUNTA(A78:M78)=0,"",IF(OR(A78="",B78="",C78="",D78="",F78="",G78="",H78="",I78="",K78="",L78=""),"不通过：缺少必填项",IF(COUNTIFS($B$5:$B$104,B78,$C$5:$C$104,C78,$D$5:$D$104,D78)&gt;1,"不通过：来源码重复","通过")))</x:f>
      </x:c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31"/>
      <x:c r="J79" s="31"/>
      <x:c r="K79" s="22"/>
      <x:c r="L79" s="31"/>
      <x:c r="M79" s="22"/>
      <x:c r="N79" s="28" t="str">
        <x:f>IF(COUNTA(A79:M79)=0,"",IF(OR(A79="",B79="",C79="",D79="",F79="",G79="",H79="",I79="",K79="",L79=""),"不通过：缺少必填项",IF(COUNTIFS($B$5:$B$104,B79,$C$5:$C$104,C79,$D$5:$D$104,D79)&gt;1,"不通过：来源码重复","通过")))</x:f>
      </x:c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31"/>
      <x:c r="J80" s="31"/>
      <x:c r="K80" s="22"/>
      <x:c r="L80" s="31"/>
      <x:c r="M80" s="22"/>
      <x:c r="N80" s="28" t="str">
        <x:f>IF(COUNTA(A80:M80)=0,"",IF(OR(A80="",B80="",C80="",D80="",F80="",G80="",H80="",I80="",K80="",L80=""),"不通过：缺少必填项",IF(COUNTIFS($B$5:$B$104,B80,$C$5:$C$104,C80,$D$5:$D$104,D80)&gt;1,"不通过：来源码重复","通过")))</x:f>
      </x:c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31"/>
      <x:c r="J81" s="31"/>
      <x:c r="K81" s="22"/>
      <x:c r="L81" s="31"/>
      <x:c r="M81" s="22"/>
      <x:c r="N81" s="28" t="str">
        <x:f>IF(COUNTA(A81:M81)=0,"",IF(OR(A81="",B81="",C81="",D81="",F81="",G81="",H81="",I81="",K81="",L81=""),"不通过：缺少必填项",IF(COUNTIFS($B$5:$B$104,B81,$C$5:$C$104,C81,$D$5:$D$104,D81)&gt;1,"不通过：来源码重复","通过")))</x:f>
      </x:c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31"/>
      <x:c r="J82" s="31"/>
      <x:c r="K82" s="22"/>
      <x:c r="L82" s="31"/>
      <x:c r="M82" s="22"/>
      <x:c r="N82" s="28" t="str">
        <x:f>IF(COUNTA(A82:M82)=0,"",IF(OR(A82="",B82="",C82="",D82="",F82="",G82="",H82="",I82="",K82="",L82=""),"不通过：缺少必填项",IF(COUNTIFS($B$5:$B$104,B82,$C$5:$C$104,C82,$D$5:$D$104,D82)&gt;1,"不通过：来源码重复","通过")))</x:f>
      </x:c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31"/>
      <x:c r="J83" s="31"/>
      <x:c r="K83" s="22"/>
      <x:c r="L83" s="31"/>
      <x:c r="M83" s="22"/>
      <x:c r="N83" s="28" t="str">
        <x:f>IF(COUNTA(A83:M83)=0,"",IF(OR(A83="",B83="",C83="",D83="",F83="",G83="",H83="",I83="",K83="",L83=""),"不通过：缺少必填项",IF(COUNTIFS($B$5:$B$104,B83,$C$5:$C$104,C83,$D$5:$D$104,D83)&gt;1,"不通过：来源码重复","通过")))</x:f>
      </x:c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31"/>
      <x:c r="J84" s="31"/>
      <x:c r="K84" s="22"/>
      <x:c r="L84" s="31"/>
      <x:c r="M84" s="22"/>
      <x:c r="N84" s="28" t="str">
        <x:f>IF(COUNTA(A84:M84)=0,"",IF(OR(A84="",B84="",C84="",D84="",F84="",G84="",H84="",I84="",K84="",L84=""),"不通过：缺少必填项",IF(COUNTIFS($B$5:$B$104,B84,$C$5:$C$104,C84,$D$5:$D$104,D84)&gt;1,"不通过：来源码重复","通过")))</x:f>
      </x:c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31"/>
      <x:c r="J85" s="31"/>
      <x:c r="K85" s="22"/>
      <x:c r="L85" s="31"/>
      <x:c r="M85" s="22"/>
      <x:c r="N85" s="28" t="str">
        <x:f>IF(COUNTA(A85:M85)=0,"",IF(OR(A85="",B85="",C85="",D85="",F85="",G85="",H85="",I85="",K85="",L85=""),"不通过：缺少必填项",IF(COUNTIFS($B$5:$B$104,B85,$C$5:$C$104,C85,$D$5:$D$104,D85)&gt;1,"不通过：来源码重复","通过")))</x:f>
      </x:c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31"/>
      <x:c r="J86" s="31"/>
      <x:c r="K86" s="22"/>
      <x:c r="L86" s="31"/>
      <x:c r="M86" s="22"/>
      <x:c r="N86" s="28" t="str">
        <x:f>IF(COUNTA(A86:M86)=0,"",IF(OR(A86="",B86="",C86="",D86="",F86="",G86="",H86="",I86="",K86="",L86=""),"不通过：缺少必填项",IF(COUNTIFS($B$5:$B$104,B86,$C$5:$C$104,C86,$D$5:$D$104,D86)&gt;1,"不通过：来源码重复","通过")))</x:f>
      </x:c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31"/>
      <x:c r="J87" s="31"/>
      <x:c r="K87" s="22"/>
      <x:c r="L87" s="31"/>
      <x:c r="M87" s="22"/>
      <x:c r="N87" s="28" t="str">
        <x:f>IF(COUNTA(A87:M87)=0,"",IF(OR(A87="",B87="",C87="",D87="",F87="",G87="",H87="",I87="",K87="",L87=""),"不通过：缺少必填项",IF(COUNTIFS($B$5:$B$104,B87,$C$5:$C$104,C87,$D$5:$D$104,D87)&gt;1,"不通过：来源码重复","通过")))</x:f>
      </x:c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31"/>
      <x:c r="J88" s="31"/>
      <x:c r="K88" s="22"/>
      <x:c r="L88" s="31"/>
      <x:c r="M88" s="22"/>
      <x:c r="N88" s="28" t="str">
        <x:f>IF(COUNTA(A88:M88)=0,"",IF(OR(A88="",B88="",C88="",D88="",F88="",G88="",H88="",I88="",K88="",L88=""),"不通过：缺少必填项",IF(COUNTIFS($B$5:$B$104,B88,$C$5:$C$104,C88,$D$5:$D$104,D88)&gt;1,"不通过：来源码重复","通过")))</x:f>
      </x:c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31"/>
      <x:c r="J89" s="31"/>
      <x:c r="K89" s="22"/>
      <x:c r="L89" s="31"/>
      <x:c r="M89" s="22"/>
      <x:c r="N89" s="28" t="str">
        <x:f>IF(COUNTA(A89:M89)=0,"",IF(OR(A89="",B89="",C89="",D89="",F89="",G89="",H89="",I89="",K89="",L89=""),"不通过：缺少必填项",IF(COUNTIFS($B$5:$B$104,B89,$C$5:$C$104,C89,$D$5:$D$104,D89)&gt;1,"不通过：来源码重复","通过")))</x:f>
      </x:c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31"/>
      <x:c r="J90" s="31"/>
      <x:c r="K90" s="22"/>
      <x:c r="L90" s="31"/>
      <x:c r="M90" s="22"/>
      <x:c r="N90" s="28" t="str">
        <x:f>IF(COUNTA(A90:M90)=0,"",IF(OR(A90="",B90="",C90="",D90="",F90="",G90="",H90="",I90="",K90="",L90=""),"不通过：缺少必填项",IF(COUNTIFS($B$5:$B$104,B90,$C$5:$C$104,C90,$D$5:$D$104,D90)&gt;1,"不通过：来源码重复","通过")))</x:f>
      </x:c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31"/>
      <x:c r="J91" s="31"/>
      <x:c r="K91" s="22"/>
      <x:c r="L91" s="31"/>
      <x:c r="M91" s="22"/>
      <x:c r="N91" s="28" t="str">
        <x:f>IF(COUNTA(A91:M91)=0,"",IF(OR(A91="",B91="",C91="",D91="",F91="",G91="",H91="",I91="",K91="",L91=""),"不通过：缺少必填项",IF(COUNTIFS($B$5:$B$104,B91,$C$5:$C$104,C91,$D$5:$D$104,D91)&gt;1,"不通过：来源码重复","通过")))</x:f>
      </x:c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31"/>
      <x:c r="J92" s="31"/>
      <x:c r="K92" s="22"/>
      <x:c r="L92" s="31"/>
      <x:c r="M92" s="22"/>
      <x:c r="N92" s="28" t="str">
        <x:f>IF(COUNTA(A92:M92)=0,"",IF(OR(A92="",B92="",C92="",D92="",F92="",G92="",H92="",I92="",K92="",L92=""),"不通过：缺少必填项",IF(COUNTIFS($B$5:$B$104,B92,$C$5:$C$104,C92,$D$5:$D$104,D92)&gt;1,"不通过：来源码重复","通过")))</x:f>
      </x:c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31"/>
      <x:c r="J93" s="31"/>
      <x:c r="K93" s="22"/>
      <x:c r="L93" s="31"/>
      <x:c r="M93" s="22"/>
      <x:c r="N93" s="28" t="str">
        <x:f>IF(COUNTA(A93:M93)=0,"",IF(OR(A93="",B93="",C93="",D93="",F93="",G93="",H93="",I93="",K93="",L93=""),"不通过：缺少必填项",IF(COUNTIFS($B$5:$B$104,B93,$C$5:$C$104,C93,$D$5:$D$104,D93)&gt;1,"不通过：来源码重复","通过")))</x:f>
      </x:c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31"/>
      <x:c r="J94" s="31"/>
      <x:c r="K94" s="22"/>
      <x:c r="L94" s="31"/>
      <x:c r="M94" s="22"/>
      <x:c r="N94" s="28" t="str">
        <x:f>IF(COUNTA(A94:M94)=0,"",IF(OR(A94="",B94="",C94="",D94="",F94="",G94="",H94="",I94="",K94="",L94=""),"不通过：缺少必填项",IF(COUNTIFS($B$5:$B$104,B94,$C$5:$C$104,C94,$D$5:$D$104,D94)&gt;1,"不通过：来源码重复","通过")))</x:f>
      </x:c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31"/>
      <x:c r="J95" s="31"/>
      <x:c r="K95" s="22"/>
      <x:c r="L95" s="31"/>
      <x:c r="M95" s="22"/>
      <x:c r="N95" s="28" t="str">
        <x:f>IF(COUNTA(A95:M95)=0,"",IF(OR(A95="",B95="",C95="",D95="",F95="",G95="",H95="",I95="",K95="",L95=""),"不通过：缺少必填项",IF(COUNTIFS($B$5:$B$104,B95,$C$5:$C$104,C95,$D$5:$D$104,D95)&gt;1,"不通过：来源码重复","通过")))</x:f>
      </x:c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31"/>
      <x:c r="J96" s="31"/>
      <x:c r="K96" s="22"/>
      <x:c r="L96" s="31"/>
      <x:c r="M96" s="22"/>
      <x:c r="N96" s="28" t="str">
        <x:f>IF(COUNTA(A96:M96)=0,"",IF(OR(A96="",B96="",C96="",D96="",F96="",G96="",H96="",I96="",K96="",L96=""),"不通过：缺少必填项",IF(COUNTIFS($B$5:$B$104,B96,$C$5:$C$104,C96,$D$5:$D$104,D96)&gt;1,"不通过：来源码重复","通过")))</x:f>
      </x:c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31"/>
      <x:c r="J97" s="31"/>
      <x:c r="K97" s="22"/>
      <x:c r="L97" s="31"/>
      <x:c r="M97" s="22"/>
      <x:c r="N97" s="28" t="str">
        <x:f>IF(COUNTA(A97:M97)=0,"",IF(OR(A97="",B97="",C97="",D97="",F97="",G97="",H97="",I97="",K97="",L97=""),"不通过：缺少必填项",IF(COUNTIFS($B$5:$B$104,B97,$C$5:$C$104,C97,$D$5:$D$104,D97)&gt;1,"不通过：来源码重复","通过")))</x:f>
      </x:c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31"/>
      <x:c r="J98" s="31"/>
      <x:c r="K98" s="22"/>
      <x:c r="L98" s="31"/>
      <x:c r="M98" s="22"/>
      <x:c r="N98" s="28" t="str">
        <x:f>IF(COUNTA(A98:M98)=0,"",IF(OR(A98="",B98="",C98="",D98="",F98="",G98="",H98="",I98="",K98="",L98=""),"不通过：缺少必填项",IF(COUNTIFS($B$5:$B$104,B98,$C$5:$C$104,C98,$D$5:$D$104,D98)&gt;1,"不通过：来源码重复","通过")))</x:f>
      </x:c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31"/>
      <x:c r="J99" s="31"/>
      <x:c r="K99" s="22"/>
      <x:c r="L99" s="31"/>
      <x:c r="M99" s="22"/>
      <x:c r="N99" s="28" t="str">
        <x:f>IF(COUNTA(A99:M99)=0,"",IF(OR(A99="",B99="",C99="",D99="",F99="",G99="",H99="",I99="",K99="",L99=""),"不通过：缺少必填项",IF(COUNTIFS($B$5:$B$104,B99,$C$5:$C$104,C99,$D$5:$D$104,D99)&gt;1,"不通过：来源码重复","通过")))</x:f>
      </x:c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31"/>
      <x:c r="J100" s="31"/>
      <x:c r="K100" s="22"/>
      <x:c r="L100" s="31"/>
      <x:c r="M100" s="22"/>
      <x:c r="N100" s="28" t="str">
        <x:f>IF(COUNTA(A100:M100)=0,"",IF(OR(A100="",B100="",C100="",D100="",F100="",G100="",H100="",I100="",K100="",L100=""),"不通过：缺少必填项",IF(COUNTIFS($B$5:$B$104,B100,$C$5:$C$104,C100,$D$5:$D$104,D100)&gt;1,"不通过：来源码重复","通过")))</x:f>
      </x:c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31"/>
      <x:c r="J101" s="31"/>
      <x:c r="K101" s="22"/>
      <x:c r="L101" s="31"/>
      <x:c r="M101" s="22"/>
      <x:c r="N101" s="28" t="str">
        <x:f>IF(COUNTA(A101:M101)=0,"",IF(OR(A101="",B101="",C101="",D101="",F101="",G101="",H101="",I101="",K101="",L101=""),"不通过：缺少必填项",IF(COUNTIFS($B$5:$B$104,B101,$C$5:$C$104,C101,$D$5:$D$104,D101)&gt;1,"不通过：来源码重复","通过")))</x:f>
      </x:c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31"/>
      <x:c r="J102" s="31"/>
      <x:c r="K102" s="22"/>
      <x:c r="L102" s="31"/>
      <x:c r="M102" s="22"/>
      <x:c r="N102" s="28" t="str">
        <x:f>IF(COUNTA(A102:M102)=0,"",IF(OR(A102="",B102="",C102="",D102="",F102="",G102="",H102="",I102="",K102="",L102=""),"不通过：缺少必填项",IF(COUNTIFS($B$5:$B$104,B102,$C$5:$C$104,C102,$D$5:$D$104,D102)&gt;1,"不通过：来源码重复","通过")))</x:f>
      </x:c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31"/>
      <x:c r="J103" s="31"/>
      <x:c r="K103" s="22"/>
      <x:c r="L103" s="31"/>
      <x:c r="M103" s="22"/>
      <x:c r="N103" s="28" t="str">
        <x:f>IF(COUNTA(A103:M103)=0,"",IF(OR(A103="",B103="",C103="",D103="",F103="",G103="",H103="",I103="",K103="",L103=""),"不通过：缺少必填项",IF(COUNTIFS($B$5:$B$104,B103,$C$5:$C$104,C103,$D$5:$D$104,D103)&gt;1,"不通过：来源码重复","通过")))</x:f>
      </x:c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32"/>
      <x:c r="J104" s="32"/>
      <x:c r="K104" s="23"/>
      <x:c r="L104" s="32"/>
      <x:c r="M104" s="23"/>
      <x:c r="N104" s="29" t="str">
        <x:f>IF(COUNTA(A104:M104)=0,"",IF(OR(A104="",B104="",C104="",D104="",F104="",G104="",H104="",I104="",K104="",L104=""),"不通过：缺少必填项",IF(COUNTIFS($B$5:$B$104,B104,$C$5:$C$104,C104,$D$5:$D$104,D104)&gt;1,"不通过：来源码重复","通过")))</x:f>
      </x:c>
    </x:row>
  </x:sheetData>
  <x:mergeCells>
    <x:mergeCell ref="A1:N1"/>
    <x:mergeCell ref="A2:N2"/>
  </x:mergeCells>
  <x:conditionalFormatting sqref="N5:N104">
    <x:cfRule type="beginsWith" dxfId="22" priority="1" operator="beginsWith" text="不通过"/>
    <x:cfRule type="cellIs" dxfId="23" priority="2" operator="equal">
      <x:formula>"通过"</x:formula>
    </x:cfRule>
  </x:conditionalFormatting>
  <x:dataValidations count="3">
    <x:dataValidation type="list" sqref="A5:A104">
      <x:formula1>"新增,修改,停用"</x:formula1>
    </x:dataValidation>
    <x:dataValidation type="list" sqref="C5:C104">
      <x:formula1>"机构,科室,病区,床位,医生,专业组,检验项目,标本,单位"</x:formula1>
    </x:dataValidation>
    <x:dataValidation type="list" sqref="H5:H104">
      <x:formula1>"启用,停用"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26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40" t="str">
        <x:v>OpenELIS 中国医院版主数据采集与验收模板</x:v>
      </x:c>
      <x:c r="B1" s="40"/>
      <x:c r="C1" s="40"/>
      <x:c r="D1" s="40"/>
      <x:c r="E1" s="40"/>
      <x:c r="F1" s="40"/>
      <x:c r="G1" s="40"/>
      <x:c r="H1" s="40"/>
    </x:row>
    <x:row r="2" ht="46" customHeight="1">
      <x:c r="A2" s="43" t="str">
        <x:v>本模板用于医院真实主数据收集、导入前校验和业务签字。不得使用模拟值替代医院签字目录，不得填入患者数据、账号口令、证书私钥或设备原始患者报文。</x:v>
      </x:c>
      <x:c r="B2" s="43"/>
      <x:c r="C2" s="43"/>
      <x:c r="D2" s="43"/>
      <x:c r="E2" s="43"/>
      <x:c r="F2" s="43"/>
      <x:c r="G2" s="43"/>
      <x:c r="H2" s="43"/>
    </x:row>
    <x:row r="4">
      <x:c r="A4" s="9" t="str">
        <x:v>填报原则</x:v>
      </x:c>
      <x:c r="B4" s="9" t="str">
        <x:v>要求</x:v>
      </x:c>
    </x:row>
    <x:row r="5">
      <x:c r="A5" s="48" t="str">
        <x:v>稳定编码</x:v>
      </x:c>
      <x:c r="B5" s="48" t="str">
        <x:v>所有跨系统主数据必须使用长期稳定且唯一的编码，名称修改不改变编码。</x:v>
      </x:c>
    </x:row>
    <x:row r="6">
      <x:c r="A6" s="49" t="str">
        <x:v>权威来源</x:v>
      </x:c>
      <x:c r="B6" s="49" t="str">
        <x:v>机构、医生来自HIS/主数据平台；检验目录和医学规则由检验科审定；设备参数由厂商确认。</x:v>
      </x:c>
    </x:row>
    <x:row r="7">
      <x:c r="A7" s="49" t="str">
        <x:v>完整性</x:v>
      </x:c>
      <x:c r="B7" s="49" t="str">
        <x:v>任何显示为“红色/不通过”的记录不得导入。黄色单元格为输入区域，灰色校验列由公式生成。</x:v>
      </x:c>
    </x:row>
    <x:row r="8">
      <x:c r="A8" s="49" t="str">
        <x:v>审计</x:v>
      </x:c>
      <x:c r="B8" s="49" t="str">
        <x:v>新增、修改、停用分开提交；保留来源时间、依据版本、审核人和确认日期。</x:v>
      </x:c>
    </x:row>
    <x:row r="9">
      <x:c r="A9" s="49" t="str">
        <x:v>隐私</x:v>
      </x:c>
      <x:c r="B9" s="49" t="str">
        <x:v>本文件只收主数据，不收患者姓名、身份证号、电话、结果或其他个人健康信息。</x:v>
      </x:c>
    </x:row>
    <x:row r="10">
      <x:c r="A10" s="49" t="str">
        <x:v>导入顺序</x:v>
      </x:c>
      <x:c r="B10" s="49" t="str">
        <x:v>机构层级 → 医生 → 专业组/单位/方法/标本 → 检验项目 → 参考范围/危急值 → 组合项目 → 设备 → 映射。</x:v>
      </x:c>
    </x:row>
    <x:row r="11">
      <x:c r="A11" s="49" t="str">
        <x:v>交付判定</x:v>
      </x:c>
      <x:c r="B11" s="49" t="str">
        <x:v>公式校验通过只是技术门槛；仍须检验科、信息科和相关厂商逐项签字并与LIS数据库对账。</x:v>
      </x:c>
    </x:row>
    <x:row r="13">
      <x:c r="A13" s="50" t="str">
        <x:v>工作表与责任</x:v>
      </x:c>
      <x:c r="B13" s="50"/>
      <x:c r="C13" s="50"/>
      <x:c r="D13" s="50"/>
      <x:c r="E13" s="50"/>
      <x:c r="F13" s="50"/>
      <x:c r="G13" s="50"/>
      <x:c r="H13" s="50"/>
    </x:row>
    <x:row r="14">
      <x:c r="A14" s="9" t="str">
        <x:v>工作表</x:v>
      </x:c>
      <x:c r="B14" s="9" t="str">
        <x:v>数据范围</x:v>
      </x:c>
      <x:c r="C14" s="9" t="str">
        <x:v>首要责任方</x:v>
      </x:c>
      <x:c r="D14" s="9" t="str">
        <x:v>导入前最低证据</x:v>
      </x:c>
    </x:row>
    <x:row r="15">
      <x:c r="A15" s="46" t="str">
        <x:v>机构层级</x:v>
      </x:c>
      <x:c r="B15" s="46" t="str">
        <x:v>医院、院区、科室、病区与床位</x:v>
      </x:c>
      <x:c r="C15" s="46" t="str">
        <x:v>医院信息科</x:v>
      </x:c>
      <x:c r="D15" s="46" t="str">
        <x:v>红色校验为0、数量对账、责任人签字</x:v>
      </x:c>
    </x:row>
    <x:row r="16">
      <x:c r="A16" s="47" t="str">
        <x:v>医生目录</x:v>
      </x:c>
      <x:c r="B16" s="47" t="str">
        <x:v>申请医生与执业科室目录</x:v>
      </x:c>
      <x:c r="C16" s="47" t="str">
        <x:v>医院信息科/医务科</x:v>
      </x:c>
      <x:c r="D16" s="47" t="str">
        <x:v>红色校验为0、数量对账、责任人签字</x:v>
      </x:c>
    </x:row>
    <x:row r="17">
      <x:c r="A17" s="47" t="str">
        <x:v>专业组</x:v>
      </x:c>
      <x:c r="B17" s="47" t="str">
        <x:v>检验专业组目录</x:v>
      </x:c>
      <x:c r="C17" s="47" t="str">
        <x:v>检验科</x:v>
      </x:c>
      <x:c r="D17" s="47" t="str">
        <x:v>红色校验为0、数量对账、责任人签字</x:v>
      </x:c>
    </x:row>
    <x:row r="18">
      <x:c r="A18" s="47" t="str">
        <x:v>检验项目</x:v>
      </x:c>
      <x:c r="B18" s="47" t="str">
        <x:v>检验项目主目录</x:v>
      </x:c>
      <x:c r="C18" s="47" t="str">
        <x:v>检验科</x:v>
      </x:c>
      <x:c r="D18" s="47" t="str">
        <x:v>红色校验为0、数量对账、责任人签字</x:v>
      </x:c>
    </x:row>
    <x:row r="19">
      <x:c r="A19" s="47" t="str">
        <x:v>标本容器</x:v>
      </x:c>
      <x:c r="B19" s="47" t="str">
        <x:v>标本类型、采集容器与稳定性</x:v>
      </x:c>
      <x:c r="C19" s="47" t="str">
        <x:v>检验科/护理部</x:v>
      </x:c>
      <x:c r="D19" s="47" t="str">
        <x:v>红色校验为0、数量对账、责任人签字</x:v>
      </x:c>
    </x:row>
    <x:row r="20">
      <x:c r="A20" s="47" t="str">
        <x:v>结果单位</x:v>
      </x:c>
      <x:c r="B20" s="47" t="str">
        <x:v>检验结果单位目录</x:v>
      </x:c>
      <x:c r="C20" s="47" t="str">
        <x:v>检验科</x:v>
      </x:c>
      <x:c r="D20" s="47" t="str">
        <x:v>红色校验为0、数量对账、责任人签字</x:v>
      </x:c>
    </x:row>
    <x:row r="21">
      <x:c r="A21" s="47" t="str">
        <x:v>检验方法</x:v>
      </x:c>
      <x:c r="B21" s="47" t="str">
        <x:v>检验方法目录</x:v>
      </x:c>
      <x:c r="C21" s="47" t="str">
        <x:v>检验科</x:v>
      </x:c>
      <x:c r="D21" s="47" t="str">
        <x:v>红色校验为0、数量对账、责任人签字</x:v>
      </x:c>
    </x:row>
    <x:row r="22">
      <x:c r="A22" s="47" t="str">
        <x:v>参考范围危急值</x:v>
      </x:c>
      <x:c r="B22" s="47" t="str">
        <x:v>参考范围、有效范围与危急值规则</x:v>
      </x:c>
      <x:c r="C22" s="47" t="str">
        <x:v>检验科</x:v>
      </x:c>
      <x:c r="D22" s="47" t="str">
        <x:v>红色校验为0、数量对账、责任人签字</x:v>
      </x:c>
    </x:row>
    <x:row r="23">
      <x:c r="A23" s="47" t="str">
        <x:v>组合项目</x:v>
      </x:c>
      <x:c r="B23" s="47" t="str">
        <x:v>组合项目与明细项目</x:v>
      </x:c>
      <x:c r="C23" s="47" t="str">
        <x:v>检验科</x:v>
      </x:c>
      <x:c r="D23" s="47" t="str">
        <x:v>红色校验为0、数量对账、责任人签字</x:v>
      </x:c>
    </x:row>
    <x:row r="24">
      <x:c r="A24" s="47" t="str">
        <x:v>设备台账</x:v>
      </x:c>
      <x:c r="B24" s="47" t="str">
        <x:v>检验设备与通信参数台账</x:v>
      </x:c>
      <x:c r="C24" s="47" t="str">
        <x:v>检验科/信息科/设备厂商</x:v>
      </x:c>
      <x:c r="D24" s="47" t="str">
        <x:v>红色校验为0、数量对账、责任人签字</x:v>
      </x:c>
    </x:row>
    <x:row r="25">
      <x:c r="A25" s="47" t="str">
        <x:v>设备项目映射</x:v>
      </x:c>
      <x:c r="B25" s="47" t="str">
        <x:v>设备项目码、LIS项目与单位映射</x:v>
      </x:c>
      <x:c r="C25" s="47" t="str">
        <x:v>检验科/设备厂商</x:v>
      </x:c>
      <x:c r="D25" s="47" t="str">
        <x:v>红色校验为0、数量对账、责任人签字</x:v>
      </x:c>
    </x:row>
    <x:row r="26">
      <x:c r="A26" t="str">
        <x:v>外部码表映射</x:v>
      </x:c>
      <x:c r="B26" t="str">
        <x:v>HIS、EMR、体检与LIS码表映射</x:v>
      </x:c>
      <x:c r="C26" t="str">
        <x:v>医院信息科/HIS厂商</x:v>
      </x:c>
      <x:c r="D26" t="str">
        <x:v>红色校验为0、数量对账、责任人签字</x:v>
      </x:c>
    </x:row>
    <x:row r="27">
      <x:c r="A27" s="69"/>
      <x:c r="B27" s="70"/>
      <x:c r="C27" s="70"/>
      <x:c r="D27" s="70"/>
      <x:c r="E27" s="70"/>
      <x:c r="F27" s="70"/>
      <x:c r="G27" s="70"/>
      <x:c r="H27" s="71"/>
    </x:row>
    <x:row r="28">
      <x:c r="A28" s="72" t="str">
        <x:v>重要：本模板当前提供100行输入区。正式导入工具应先做预检并生成差异报告，再由授权人员确认写入；不能直接把工作簿内容批量写进生产数据库。</x:v>
      </x:c>
      <x:c r="B28" s="73"/>
      <x:c r="C28" s="73"/>
      <x:c r="D28" s="73"/>
      <x:c r="E28" s="73"/>
      <x:c r="F28" s="73"/>
      <x:c r="G28" s="73"/>
      <x:c r="H28" s="74"/>
    </x:row>
    <x:row r="29">
      <x:c r="A29" s="75"/>
      <x:c r="B29" s="76"/>
      <x:c r="C29" s="76"/>
      <x:c r="D29" s="76"/>
      <x:c r="E29" s="76"/>
      <x:c r="F29" s="76"/>
      <x:c r="G29" s="76"/>
      <x:c r="H29" s="77"/>
    </x:row>
  </x:sheetData>
  <x:mergeCells>
    <x:mergeCell ref="A1:H1"/>
    <x:mergeCell ref="A2:H2"/>
    <x:mergeCell ref="A13:H13"/>
    <x:mergeCell ref="A28:H3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5" hidden="0" customWidth="1"/>
    <x:col min="4" max="4" width="15" hidden="0" customWidth="1"/>
    <x:col min="5" max="5" width="18" hidden="0" customWidth="1"/>
    <x:col min="6" max="6" width="30" hidden="0" customWidth="1"/>
    <x:col min="7" max="7" width="24" hidden="0" customWidth="1"/>
  </x:cols>
  <x:sheetData>
    <x:row r="1" ht="36" customHeight="1">
      <x:c r="A1" s="40" t="str">
        <x:v>主数据导入前验收汇总</x:v>
      </x:c>
      <x:c r="B1" s="40"/>
      <x:c r="C1" s="40"/>
      <x:c r="D1" s="40"/>
      <x:c r="E1" s="40"/>
      <x:c r="F1" s="40"/>
      <x:c r="G1" s="40"/>
    </x:row>
    <x:row r="2" ht="42" customHeight="1">
      <x:c r="A2" s="43" t="str">
        <x:v>本页由各数据工作表自动汇总。技术校验全部通过后仍需责任方签字；“未填报”或“不通过”均阻断生产导入。</x:v>
      </x:c>
      <x:c r="B2" s="43"/>
      <x:c r="C2" s="43"/>
      <x:c r="D2" s="43"/>
      <x:c r="E2" s="43"/>
      <x:c r="F2" s="43"/>
      <x:c r="G2" s="43"/>
    </x:row>
    <x:row r="4">
      <x:c r="A4" s="78" t="str">
        <x:v>领域</x:v>
      </x:c>
      <x:c r="B4" s="78" t="str">
        <x:v>工作表</x:v>
      </x:c>
      <x:c r="C4" s="78" t="str">
        <x:v>已填记录数</x:v>
      </x:c>
      <x:c r="D4" s="78" t="str">
        <x:v>阻断问题数</x:v>
      </x:c>
      <x:c r="E4" s="78" t="str">
        <x:v>技术状态</x:v>
      </x:c>
      <x:c r="F4" s="78" t="str">
        <x:v>责任方</x:v>
      </x:c>
      <x:c r="G4" s="78" t="str">
        <x:v>业务签字状态</x:v>
      </x:c>
    </x:row>
    <x:row r="5">
      <x:c r="A5" s="79" t="str">
        <x:v>医院、院区、科室、病区与床位</x:v>
      </x:c>
      <x:c r="B5" s="79" t="str">
        <x:v>机构层级</x:v>
      </x:c>
      <x:c r="C5" s="79" t="n">
        <x:f>COUNTIF('机构层级'!$B$5:$B$104,"&lt;&gt;")</x:f>
        <x:v>0</x:v>
      </x:c>
      <x:c r="D5" s="79" t="n">
        <x:f>COUNTIF('机构层级'!$M$5:$M$104,"不通过*")</x:f>
        <x:v>0</x:v>
      </x:c>
      <x:c r="E5" s="79" t="str">
        <x:f>IF(C5=0,"未填报",IF(D5&gt;0,"不通过","待业务审核"))</x:f>
        <x:v>未填报</x:v>
      </x:c>
      <x:c r="F5" s="79" t="str">
        <x:v>医院信息科</x:v>
      </x:c>
      <x:c r="G5" s="79" t="str">
        <x:v>待签字</x:v>
      </x:c>
    </x:row>
    <x:row r="6">
      <x:c r="A6" s="80" t="str">
        <x:v>申请医生与执业科室目录</x:v>
      </x:c>
      <x:c r="B6" s="80" t="str">
        <x:v>医生目录</x:v>
      </x:c>
      <x:c r="C6" s="80" t="n">
        <x:f>COUNTIF('医生目录'!$B$5:$B$104,"&lt;&gt;")</x:f>
        <x:v>0</x:v>
      </x:c>
      <x:c r="D6" s="80" t="n">
        <x:f>COUNTIF('医生目录'!$M$5:$M$104,"不通过*")</x:f>
        <x:v>0</x:v>
      </x:c>
      <x:c r="E6" s="80" t="str">
        <x:f>IF(C6=0,"未填报",IF(D6&gt;0,"不通过","待业务审核"))</x:f>
        <x:v>未填报</x:v>
      </x:c>
      <x:c r="F6" s="80" t="str">
        <x:v>医院信息科/医务科</x:v>
      </x:c>
      <x:c r="G6" s="80" t="str">
        <x:v>待签字</x:v>
      </x:c>
    </x:row>
    <x:row r="7">
      <x:c r="A7" s="80" t="str">
        <x:v>检验专业组目录</x:v>
      </x:c>
      <x:c r="B7" s="80" t="str">
        <x:v>专业组</x:v>
      </x:c>
      <x:c r="C7" s="80" t="n">
        <x:f>COUNTIF('专业组'!$B$5:$B$104,"&lt;&gt;")</x:f>
        <x:v>0</x:v>
      </x:c>
      <x:c r="D7" s="80" t="n">
        <x:f>COUNTIF('专业组'!$K$5:$K$104,"不通过*")</x:f>
        <x:v>0</x:v>
      </x:c>
      <x:c r="E7" s="80" t="str">
        <x:f>IF(C7=0,"未填报",IF(D7&gt;0,"不通过","待业务审核"))</x:f>
        <x:v>未填报</x:v>
      </x:c>
      <x:c r="F7" s="80" t="str">
        <x:v>检验科</x:v>
      </x:c>
      <x:c r="G7" s="80" t="str">
        <x:v>待签字</x:v>
      </x:c>
    </x:row>
    <x:row r="8">
      <x:c r="A8" s="80" t="str">
        <x:v>检验项目主目录</x:v>
      </x:c>
      <x:c r="B8" s="80" t="str">
        <x:v>检验项目</x:v>
      </x:c>
      <x:c r="C8" s="80" t="n">
        <x:f>COUNTIF('检验项目'!$B$5:$B$104,"&lt;&gt;")</x:f>
        <x:v>0</x:v>
      </x:c>
      <x:c r="D8" s="80" t="n">
        <x:f>COUNTIF('检验项目'!$Q$5:$Q$104,"不通过*")</x:f>
        <x:v>0</x:v>
      </x:c>
      <x:c r="E8" s="80" t="str">
        <x:f>IF(C8=0,"未填报",IF(D8&gt;0,"不通过","待业务审核"))</x:f>
        <x:v>未填报</x:v>
      </x:c>
      <x:c r="F8" s="80" t="str">
        <x:v>检验科</x:v>
      </x:c>
      <x:c r="G8" s="80" t="str">
        <x:v>待签字</x:v>
      </x:c>
    </x:row>
    <x:row r="9">
      <x:c r="A9" s="80" t="str">
        <x:v>标本类型、采集容器与稳定性</x:v>
      </x:c>
      <x:c r="B9" s="80" t="str">
        <x:v>标本容器</x:v>
      </x:c>
      <x:c r="C9" s="80" t="n">
        <x:f>COUNTIF('标本容器'!$B$5:$B$104,"&lt;&gt;")</x:f>
        <x:v>0</x:v>
      </x:c>
      <x:c r="D9" s="80" t="n">
        <x:f>COUNTIF('标本容器'!$O$5:$O$104,"不通过*")</x:f>
        <x:v>0</x:v>
      </x:c>
      <x:c r="E9" s="80" t="str">
        <x:f>IF(C9=0,"未填报",IF(D9&gt;0,"不通过","待业务审核"))</x:f>
        <x:v>未填报</x:v>
      </x:c>
      <x:c r="F9" s="80" t="str">
        <x:v>检验科/护理部</x:v>
      </x:c>
      <x:c r="G9" s="80" t="str">
        <x:v>待签字</x:v>
      </x:c>
    </x:row>
    <x:row r="10">
      <x:c r="A10" s="80" t="str">
        <x:v>检验结果单位目录</x:v>
      </x:c>
      <x:c r="B10" s="80" t="str">
        <x:v>结果单位</x:v>
      </x:c>
      <x:c r="C10" s="80" t="n">
        <x:f>COUNTIF('结果单位'!$B$5:$B$104,"&lt;&gt;")</x:f>
        <x:v>0</x:v>
      </x:c>
      <x:c r="D10" s="80" t="n">
        <x:f>COUNTIF('结果单位'!$K$5:$K$104,"不通过*")</x:f>
        <x:v>0</x:v>
      </x:c>
      <x:c r="E10" s="80" t="str">
        <x:f>IF(C10=0,"未填报",IF(D10&gt;0,"不通过","待业务审核"))</x:f>
        <x:v>未填报</x:v>
      </x:c>
      <x:c r="F10" s="80" t="str">
        <x:v>检验科</x:v>
      </x:c>
      <x:c r="G10" s="80" t="str">
        <x:v>待签字</x:v>
      </x:c>
    </x:row>
    <x:row r="11">
      <x:c r="A11" s="80" t="str">
        <x:v>检验方法目录</x:v>
      </x:c>
      <x:c r="B11" s="80" t="str">
        <x:v>检验方法</x:v>
      </x:c>
      <x:c r="C11" s="80" t="n">
        <x:f>COUNTIF('检验方法'!$B$5:$B$104,"&lt;&gt;")</x:f>
        <x:v>0</x:v>
      </x:c>
      <x:c r="D11" s="80" t="n">
        <x:f>COUNTIF('检验方法'!$J$5:$J$104,"不通过*")</x:f>
        <x:v>0</x:v>
      </x:c>
      <x:c r="E11" s="80" t="str">
        <x:f>IF(C11=0,"未填报",IF(D11&gt;0,"不通过","待业务审核"))</x:f>
        <x:v>未填报</x:v>
      </x:c>
      <x:c r="F11" s="80" t="str">
        <x:v>检验科</x:v>
      </x:c>
      <x:c r="G11" s="80" t="str">
        <x:v>待签字</x:v>
      </x:c>
    </x:row>
    <x:row r="12">
      <x:c r="A12" s="80" t="str">
        <x:v>参考范围、有效范围与危急值规则</x:v>
      </x:c>
      <x:c r="B12" s="80" t="str">
        <x:v>参考范围危急值</x:v>
      </x:c>
      <x:c r="C12" s="80" t="n">
        <x:f>COUNTIF('参考范围危急值'!$B$5:$B$104,"&lt;&gt;")</x:f>
        <x:v>0</x:v>
      </x:c>
      <x:c r="D12" s="80" t="n">
        <x:f>COUNTIF('参考范围危急值'!$S$5:$S$104,"不通过*")</x:f>
        <x:v>0</x:v>
      </x:c>
      <x:c r="E12" s="80" t="str">
        <x:f>IF(C12=0,"未填报",IF(D12&gt;0,"不通过","待业务审核"))</x:f>
        <x:v>未填报</x:v>
      </x:c>
      <x:c r="F12" s="80" t="str">
        <x:v>检验科</x:v>
      </x:c>
      <x:c r="G12" s="80" t="str">
        <x:v>待签字</x:v>
      </x:c>
    </x:row>
    <x:row r="13">
      <x:c r="A13" s="80" t="str">
        <x:v>组合项目与明细项目</x:v>
      </x:c>
      <x:c r="B13" s="80" t="str">
        <x:v>组合项目</x:v>
      </x:c>
      <x:c r="C13" s="80" t="n">
        <x:f>COUNTIF('组合项目'!$B$5:$B$104,"&lt;&gt;")</x:f>
        <x:v>0</x:v>
      </x:c>
      <x:c r="D13" s="80" t="n">
        <x:f>COUNTIF('组合项目'!$K$5:$K$104,"不通过*")</x:f>
        <x:v>0</x:v>
      </x:c>
      <x:c r="E13" s="80" t="str">
        <x:f>IF(C13=0,"未填报",IF(D13&gt;0,"不通过","待业务审核"))</x:f>
        <x:v>未填报</x:v>
      </x:c>
      <x:c r="F13" s="80" t="str">
        <x:v>检验科</x:v>
      </x:c>
      <x:c r="G13" s="80" t="str">
        <x:v>待签字</x:v>
      </x:c>
    </x:row>
    <x:row r="14">
      <x:c r="A14" s="80" t="str">
        <x:v>检验设备与通信参数台账</x:v>
      </x:c>
      <x:c r="B14" s="80" t="str">
        <x:v>设备台账</x:v>
      </x:c>
      <x:c r="C14" s="80" t="n">
        <x:f>COUNTIF('设备台账'!$B$5:$B$104,"&lt;&gt;")</x:f>
        <x:v>0</x:v>
      </x:c>
      <x:c r="D14" s="80" t="n">
        <x:f>COUNTIF('设备台账'!$V$5:$V$104,"不通过*")</x:f>
        <x:v>0</x:v>
      </x:c>
      <x:c r="E14" s="80" t="str">
        <x:f>IF(C14=0,"未填报",IF(D14&gt;0,"不通过","待业务审核"))</x:f>
        <x:v>未填报</x:v>
      </x:c>
      <x:c r="F14" s="80" t="str">
        <x:v>检验科/信息科/设备厂商</x:v>
      </x:c>
      <x:c r="G14" s="80" t="str">
        <x:v>待签字</x:v>
      </x:c>
    </x:row>
    <x:row r="15">
      <x:c r="A15" s="80" t="str">
        <x:v>设备项目码、LIS项目与单位映射</x:v>
      </x:c>
      <x:c r="B15" s="80" t="str">
        <x:v>设备项目映射</x:v>
      </x:c>
      <x:c r="C15" s="80" t="n">
        <x:f>COUNTIF('设备项目映射'!$B$5:$B$104,"&lt;&gt;")</x:f>
        <x:v>0</x:v>
      </x:c>
      <x:c r="D15" s="80" t="n">
        <x:f>COUNTIF('设备项目映射'!$O$5:$O$104,"不通过*")</x:f>
        <x:v>0</x:v>
      </x:c>
      <x:c r="E15" s="80" t="str">
        <x:f>IF(C15=0,"未填报",IF(D15&gt;0,"不通过","待业务审核"))</x:f>
        <x:v>未填报</x:v>
      </x:c>
      <x:c r="F15" s="80" t="str">
        <x:v>检验科/设备厂商</x:v>
      </x:c>
      <x:c r="G15" s="80" t="str">
        <x:v>待签字</x:v>
      </x:c>
    </x:row>
    <x:row r="16">
      <x:c r="A16" s="80" t="str">
        <x:v>HIS、EMR、体检与LIS码表映射</x:v>
      </x:c>
      <x:c r="B16" s="80" t="str">
        <x:v>外部码表映射</x:v>
      </x:c>
      <x:c r="C16" s="80" t="n">
        <x:f>COUNTIF('外部码表映射'!$B$5:$B$104,"&lt;&gt;")</x:f>
        <x:v>0</x:v>
      </x:c>
      <x:c r="D16" s="80" t="n">
        <x:f>COUNTIF('外部码表映射'!$N$5:$N$104,"不通过*")</x:f>
        <x:v>0</x:v>
      </x:c>
      <x:c r="E16" s="80" t="str">
        <x:f>IF(C16=0,"未填报",IF(D16&gt;0,"不通过","待业务审核"))</x:f>
        <x:v>未填报</x:v>
      </x:c>
      <x:c r="F16" s="80" t="str">
        <x:v>医院信息科/HIS厂商</x:v>
      </x:c>
      <x:c r="G16" s="80" t="str">
        <x:v>待签字</x:v>
      </x:c>
    </x:row>
    <x:row r="17">
      <x:c r="A17" s="82" t="str">
        <x:v>合计</x:v>
      </x:c>
      <x:c r="B17" s="82"/>
      <x:c r="C17" s="82" t="n">
        <x:f>SUM(C5:C16)</x:f>
        <x:v>0</x:v>
      </x:c>
      <x:c r="D17" s="82" t="n">
        <x:f>SUM(D5:D16)</x:f>
        <x:v>0</x:v>
      </x:c>
      <x:c r="E17" s="82" t="str">
        <x:f>IF(COUNTIF(E5:E16,"未填报")&gt;0,"未完成",IF(D17&gt;0,"不通过","待全部业务签字"))</x:f>
        <x:v>未完成</x:v>
      </x:c>
      <x:c r="F17" s="82" t="str">
        <x:v>生产导入门禁</x:v>
      </x:c>
      <x:c r="G17" s="82"/>
    </x:row>
    <x:row r="20">
      <x:c r="A20" s="50" t="str">
        <x:v>最终签字与导入控制</x:v>
      </x:c>
      <x:c r="B20" s="50"/>
      <x:c r="C20" s="50"/>
      <x:c r="D20" s="50"/>
      <x:c r="E20" s="50"/>
      <x:c r="F20" s="50"/>
      <x:c r="G20" s="50"/>
    </x:row>
    <x:row r="21">
      <x:c r="A21" s="9" t="str">
        <x:v>角色</x:v>
      </x:c>
      <x:c r="B21" s="9" t="str">
        <x:v>姓名</x:v>
      </x:c>
      <x:c r="C21" s="9" t="str">
        <x:v>部门/厂商</x:v>
      </x:c>
      <x:c r="D21" s="9" t="str">
        <x:v>确认日期</x:v>
      </x:c>
      <x:c r="E21" s="9" t="str">
        <x:v>目录版本</x:v>
      </x:c>
      <x:c r="F21" s="9" t="str">
        <x:v>结论</x:v>
      </x:c>
      <x:c r="G21" s="9" t="str">
        <x:v>签字/备注</x:v>
      </x:c>
    </x:row>
    <x:row r="22">
      <x:c r="A22" s="85" t="str">
        <x:v>检验科负责人</x:v>
      </x:c>
      <x:c r="B22" s="85"/>
      <x:c r="C22" s="85"/>
      <x:c r="D22" s="115"/>
      <x:c r="E22" s="85"/>
      <x:c r="F22" s="85"/>
      <x:c r="G22" s="85"/>
    </x:row>
    <x:row r="23">
      <x:c r="A23" s="86" t="str">
        <x:v>医院信息科负责人</x:v>
      </x:c>
      <x:c r="B23" s="86"/>
      <x:c r="C23" s="86"/>
      <x:c r="D23" s="116"/>
      <x:c r="E23" s="86"/>
      <x:c r="F23" s="86"/>
      <x:c r="G23" s="86"/>
    </x:row>
    <x:row r="24">
      <x:c r="A24" s="86" t="str">
        <x:v>HIS/EMR厂商</x:v>
      </x:c>
      <x:c r="B24" s="86"/>
      <x:c r="C24" s="86"/>
      <x:c r="D24" s="116"/>
      <x:c r="E24" s="86"/>
      <x:c r="F24" s="86"/>
      <x:c r="G24" s="86"/>
    </x:row>
    <x:row r="25">
      <x:c r="A25" s="86" t="str">
        <x:v>设备厂商/实施负责人</x:v>
      </x:c>
      <x:c r="B25" s="86"/>
      <x:c r="C25" s="86"/>
      <x:c r="D25" s="116"/>
      <x:c r="E25" s="86"/>
      <x:c r="F25" s="86"/>
      <x:c r="G25" s="86"/>
    </x:row>
    <x:row r="27">
      <x:c r="A27" s="106" t="str">
        <x:v>只有“技术状态”无未填报/不通过、所有范围内责任方签字完成、导入预检差异为0，并且数据库完整性脚本ERROR归零时，才允许执行生产导入。</x:v>
      </x:c>
      <x:c r="B27" s="107"/>
      <x:c r="C27" s="107"/>
      <x:c r="D27" s="107"/>
      <x:c r="E27" s="107"/>
      <x:c r="F27" s="107"/>
      <x:c r="G27" s="108"/>
    </x:row>
    <x:row r="28">
      <x:c r="A28" s="109"/>
      <x:c r="B28" s="110"/>
      <x:c r="C28" s="110"/>
      <x:c r="D28" s="110"/>
      <x:c r="E28" s="110"/>
      <x:c r="F28" s="110"/>
      <x:c r="G28" s="111"/>
    </x:row>
    <x:row r="29">
      <x:c r="A29" s="112"/>
      <x:c r="B29" s="113"/>
      <x:c r="C29" s="113"/>
      <x:c r="D29" s="113"/>
      <x:c r="E29" s="113"/>
      <x:c r="F29" s="113"/>
      <x:c r="G29" s="114"/>
    </x:row>
  </x:sheetData>
  <x:mergeCells>
    <x:mergeCell ref="A1:G1"/>
    <x:mergeCell ref="A2:G2"/>
    <x:mergeCell ref="A17:B17"/>
    <x:mergeCell ref="F17:G17"/>
    <x:mergeCell ref="A20:G20"/>
    <x:mergeCell ref="A27:G29"/>
  </x:mergeCells>
  <x:conditionalFormatting sqref="E5:E17">
    <x:cfRule type="containsText" dxfId="24" priority="1" operator="containsText" text="不通过"/>
    <x:cfRule type="containsText" dxfId="25" priority="2" operator="containsText" text="未"/>
  </x:conditionalFormatting>
  <x:dataValidations count="1">
    <x:dataValidation type="list" sqref="F22:F25">
      <x:formula1>"通过,不通过,不适用"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46" hidden="0" customWidth="1"/>
    <x:col min="6" max="6" width="30" hidden="0" customWidth="1"/>
  </x:cols>
  <x:sheetData>
    <x:row r="1">
      <x:c r="A1" s="2" t="str">
        <x:v>字段规则与填写约束</x:v>
      </x:c>
      <x:c r="B1" s="2"/>
      <x:c r="C1" s="2"/>
      <x:c r="D1" s="2"/>
      <x:c r="E1" s="2"/>
      <x:c r="F1" s="2"/>
    </x:row>
    <x:row r="2">
      <x:c r="A2" s="42" t="str">
        <x:v>星号字段为必填。编码按字符串处理并保持前导零；日期统一使用YYYY-MM-DD；数值不带单位文本；停用记录必须保留原编码。</x:v>
      </x:c>
      <x:c r="B2" s="42"/>
      <x:c r="C2" s="42"/>
      <x:c r="D2" s="42"/>
      <x:c r="E2" s="42"/>
      <x:c r="F2" s="42"/>
    </x:row>
    <x:row r="4">
      <x:c r="A4" s="9" t="str">
        <x:v>工作表</x:v>
      </x:c>
      <x:c r="B4" s="9" t="str">
        <x:v>字段</x:v>
      </x:c>
      <x:c r="C4" s="9" t="str">
        <x:v>是否必填</x:v>
      </x:c>
      <x:c r="D4" s="9" t="str">
        <x:v>数据类型</x:v>
      </x:c>
      <x:c r="E4" s="9" t="str">
        <x:v>填写/校验规则</x:v>
      </x:c>
      <x:c r="F4" s="9" t="str">
        <x:v>责任来源</x:v>
      </x:c>
    </x:row>
    <x:row r="5">
      <x:c r="A5" s="48" t="str">
        <x:v>机构层级</x:v>
      </x:c>
      <x:c r="B5" s="48" t="str">
        <x:v>数据状态</x:v>
      </x:c>
      <x:c r="C5" s="48" t="str">
        <x:v>是</x:v>
      </x:c>
      <x:c r="D5" s="48" t="str">
        <x:v>文本</x:v>
      </x:c>
      <x:c r="E5" s="48" t="str">
        <x:v>不得为空</x:v>
      </x:c>
      <x:c r="F5" s="48" t="str">
        <x:v>医院信息科</x:v>
      </x:c>
    </x:row>
    <x:row r="6">
      <x:c r="A6" s="49" t="str">
        <x:v>机构层级</x:v>
      </x:c>
      <x:c r="B6" s="49" t="str">
        <x:v>稳定编码</x:v>
      </x:c>
      <x:c r="C6" s="49" t="str">
        <x:v>是</x:v>
      </x:c>
      <x:c r="D6" s="49" t="str">
        <x:v>文本</x:v>
      </x:c>
      <x:c r="E6" s="49" t="str">
        <x:v>不得为空；使用稳定编码，不用名称代替</x:v>
      </x:c>
      <x:c r="F6" s="49" t="str">
        <x:v>医院信息科</x:v>
      </x:c>
    </x:row>
    <x:row r="7">
      <x:c r="A7" s="49" t="str">
        <x:v>机构层级</x:v>
      </x:c>
      <x:c r="B7" s="49" t="str">
        <x:v>名称</x:v>
      </x:c>
      <x:c r="C7" s="49" t="str">
        <x:v>是</x:v>
      </x:c>
      <x:c r="D7" s="49" t="str">
        <x:v>文本</x:v>
      </x:c>
      <x:c r="E7" s="49" t="str">
        <x:v>不得为空</x:v>
      </x:c>
      <x:c r="F7" s="49" t="str">
        <x:v>医院信息科</x:v>
      </x:c>
    </x:row>
    <x:row r="8">
      <x:c r="A8" s="49" t="str">
        <x:v>机构层级</x:v>
      </x:c>
      <x:c r="B8" s="49" t="str">
        <x:v>机构类型</x:v>
      </x:c>
      <x:c r="C8" s="49" t="str">
        <x:v>是</x:v>
      </x:c>
      <x:c r="D8" s="49" t="str">
        <x:v>文本</x:v>
      </x:c>
      <x:c r="E8" s="49" t="str">
        <x:v>不得为空</x:v>
      </x:c>
      <x:c r="F8" s="49" t="str">
        <x:v>医院信息科</x:v>
      </x:c>
    </x:row>
    <x:row r="9">
      <x:c r="A9" s="49" t="str">
        <x:v>机构层级</x:v>
      </x:c>
      <x:c r="B9" s="49" t="str">
        <x:v>上级机构编码</x:v>
      </x:c>
      <x:c r="C9" s="49" t="str">
        <x:v>否</x:v>
      </x:c>
      <x:c r="D9" s="49" t="str">
        <x:v>文本</x:v>
      </x:c>
      <x:c r="E9" s="49" t="str">
        <x:v>按适用范围填写；使用稳定编码，不用名称代替</x:v>
      </x:c>
      <x:c r="F9" s="49" t="str">
        <x:v>医院信息科</x:v>
      </x:c>
    </x:row>
    <x:row r="10">
      <x:c r="A10" s="49" t="str">
        <x:v>机构层级</x:v>
      </x:c>
      <x:c r="B10" s="49" t="str">
        <x:v>院区编码</x:v>
      </x:c>
      <x:c r="C10" s="49" t="str">
        <x:v>否</x:v>
      </x:c>
      <x:c r="D10" s="49" t="str">
        <x:v>文本</x:v>
      </x:c>
      <x:c r="E10" s="49" t="str">
        <x:v>按适用范围填写；使用稳定编码，不用名称代替</x:v>
      </x:c>
      <x:c r="F10" s="49" t="str">
        <x:v>医院信息科</x:v>
      </x:c>
    </x:row>
    <x:row r="11">
      <x:c r="A11" s="49" t="str">
        <x:v>机构层级</x:v>
      </x:c>
      <x:c r="B11" s="49" t="str">
        <x:v>启用状态</x:v>
      </x:c>
      <x:c r="C11" s="49" t="str">
        <x:v>是</x:v>
      </x:c>
      <x:c r="D11" s="49" t="str">
        <x:v>文本</x:v>
      </x:c>
      <x:c r="E11" s="49" t="str">
        <x:v>不得为空</x:v>
      </x:c>
      <x:c r="F11" s="49" t="str">
        <x:v>医院信息科</x:v>
      </x:c>
    </x:row>
    <x:row r="12">
      <x:c r="A12" s="49" t="str">
        <x:v>机构层级</x:v>
      </x:c>
      <x:c r="B12" s="49" t="str">
        <x:v>有效开始日期</x:v>
      </x:c>
      <x:c r="C12" s="49" t="str">
        <x:v>否</x:v>
      </x:c>
      <x:c r="D12" s="49" t="str">
        <x:v>日期</x:v>
      </x:c>
      <x:c r="E12" s="49" t="str">
        <x:v>按适用范围填写；格式YYYY-MM-DD</x:v>
      </x:c>
      <x:c r="F12" s="49" t="str">
        <x:v>医院信息科</x:v>
      </x:c>
    </x:row>
    <x:row r="13">
      <x:c r="A13" s="49" t="str">
        <x:v>机构层级</x:v>
      </x:c>
      <x:c r="B13" s="49" t="str">
        <x:v>有效结束日期</x:v>
      </x:c>
      <x:c r="C13" s="49" t="str">
        <x:v>否</x:v>
      </x:c>
      <x:c r="D13" s="49" t="str">
        <x:v>日期</x:v>
      </x:c>
      <x:c r="E13" s="49" t="str">
        <x:v>按适用范围填写；格式YYYY-MM-DD</x:v>
      </x:c>
      <x:c r="F13" s="49" t="str">
        <x:v>医院信息科</x:v>
      </x:c>
    </x:row>
    <x:row r="14">
      <x:c r="A14" s="49" t="str">
        <x:v>机构层级</x:v>
      </x:c>
      <x:c r="B14" s="49" t="str">
        <x:v>权威来源</x:v>
      </x:c>
      <x:c r="C14" s="49" t="str">
        <x:v>是</x:v>
      </x:c>
      <x:c r="D14" s="49" t="str">
        <x:v>文本</x:v>
      </x:c>
      <x:c r="E14" s="49" t="str">
        <x:v>不得为空</x:v>
      </x:c>
      <x:c r="F14" s="49" t="str">
        <x:v>医院信息科</x:v>
      </x:c>
    </x:row>
    <x:row r="15">
      <x:c r="A15" s="49" t="str">
        <x:v>机构层级</x:v>
      </x:c>
      <x:c r="B15" s="49" t="str">
        <x:v>来源更新时间</x:v>
      </x:c>
      <x:c r="C15" s="49" t="str">
        <x:v>否</x:v>
      </x:c>
      <x:c r="D15" s="49" t="str">
        <x:v>日期</x:v>
      </x:c>
      <x:c r="E15" s="49" t="str">
        <x:v>按适用范围填写；格式YYYY-MM-DD</x:v>
      </x:c>
      <x:c r="F15" s="49" t="str">
        <x:v>医院信息科</x:v>
      </x:c>
    </x:row>
    <x:row r="16">
      <x:c r="A16" s="49" t="str">
        <x:v>机构层级</x:v>
      </x:c>
      <x:c r="B16" s="49" t="str">
        <x:v>备注</x:v>
      </x:c>
      <x:c r="C16" s="49" t="str">
        <x:v>否</x:v>
      </x:c>
      <x:c r="D16" s="49" t="str">
        <x:v>文本</x:v>
      </x:c>
      <x:c r="E16" s="49" t="str">
        <x:v>按适用范围填写</x:v>
      </x:c>
      <x:c r="F16" s="49" t="str">
        <x:v>医院信息科</x:v>
      </x:c>
    </x:row>
    <x:row r="17">
      <x:c r="A17" s="49" t="str">
        <x:v>医生目录</x:v>
      </x:c>
      <x:c r="B17" s="49" t="str">
        <x:v>数据状态</x:v>
      </x:c>
      <x:c r="C17" s="49" t="str">
        <x:v>是</x:v>
      </x:c>
      <x:c r="D17" s="49" t="str">
        <x:v>文本</x:v>
      </x:c>
      <x:c r="E17" s="49" t="str">
        <x:v>不得为空</x:v>
      </x:c>
      <x:c r="F17" s="49" t="str">
        <x:v>医院信息科/医务科</x:v>
      </x:c>
    </x:row>
    <x:row r="18">
      <x:c r="A18" s="49" t="str">
        <x:v>医生目录</x:v>
      </x:c>
      <x:c r="B18" s="49" t="str">
        <x:v>医生编码</x:v>
      </x:c>
      <x:c r="C18" s="49" t="str">
        <x:v>是</x:v>
      </x:c>
      <x:c r="D18" s="49" t="str">
        <x:v>文本</x:v>
      </x:c>
      <x:c r="E18" s="49" t="str">
        <x:v>不得为空；使用稳定编码，不用名称代替</x:v>
      </x:c>
      <x:c r="F18" s="49" t="str">
        <x:v>医院信息科/医务科</x:v>
      </x:c>
    </x:row>
    <x:row r="19">
      <x:c r="A19" s="49" t="str">
        <x:v>医生目录</x:v>
      </x:c>
      <x:c r="B19" s="49" t="str">
        <x:v>医生姓名</x:v>
      </x:c>
      <x:c r="C19" s="49" t="str">
        <x:v>是</x:v>
      </x:c>
      <x:c r="D19" s="49" t="str">
        <x:v>文本</x:v>
      </x:c>
      <x:c r="E19" s="49" t="str">
        <x:v>不得为空</x:v>
      </x:c>
      <x:c r="F19" s="49" t="str">
        <x:v>医院信息科/医务科</x:v>
      </x:c>
    </x:row>
    <x:row r="20">
      <x:c r="A20" s="49" t="str">
        <x:v>医生目录</x:v>
      </x:c>
      <x:c r="B20" s="49" t="str">
        <x:v>执业科室编码</x:v>
      </x:c>
      <x:c r="C20" s="49" t="str">
        <x:v>是</x:v>
      </x:c>
      <x:c r="D20" s="49" t="str">
        <x:v>文本</x:v>
      </x:c>
      <x:c r="E20" s="49" t="str">
        <x:v>不得为空；使用稳定编码，不用名称代替</x:v>
      </x:c>
      <x:c r="F20" s="49" t="str">
        <x:v>医院信息科/医务科</x:v>
      </x:c>
    </x:row>
    <x:row r="21">
      <x:c r="A21" s="49" t="str">
        <x:v>医生目录</x:v>
      </x:c>
      <x:c r="B21" s="49" t="str">
        <x:v>执业证号</x:v>
      </x:c>
      <x:c r="C21" s="49" t="str">
        <x:v>否</x:v>
      </x:c>
      <x:c r="D21" s="49" t="str">
        <x:v>文本</x:v>
      </x:c>
      <x:c r="E21" s="49" t="str">
        <x:v>按适用范围填写</x:v>
      </x:c>
      <x:c r="F21" s="49" t="str">
        <x:v>医院信息科/医务科</x:v>
      </x:c>
    </x:row>
    <x:row r="22">
      <x:c r="A22" s="49" t="str">
        <x:v>医生目录</x:v>
      </x:c>
      <x:c r="B22" s="49" t="str">
        <x:v>联系电话</x:v>
      </x:c>
      <x:c r="C22" s="49" t="str">
        <x:v>否</x:v>
      </x:c>
      <x:c r="D22" s="49" t="str">
        <x:v>文本</x:v>
      </x:c>
      <x:c r="E22" s="49" t="str">
        <x:v>按适用范围填写</x:v>
      </x:c>
      <x:c r="F22" s="49" t="str">
        <x:v>医院信息科/医务科</x:v>
      </x:c>
    </x:row>
    <x:row r="23">
      <x:c r="A23" s="49" t="str">
        <x:v>医生目录</x:v>
      </x:c>
      <x:c r="B23" s="49" t="str">
        <x:v>启用状态</x:v>
      </x:c>
      <x:c r="C23" s="49" t="str">
        <x:v>是</x:v>
      </x:c>
      <x:c r="D23" s="49" t="str">
        <x:v>文本</x:v>
      </x:c>
      <x:c r="E23" s="49" t="str">
        <x:v>不得为空</x:v>
      </x:c>
      <x:c r="F23" s="49" t="str">
        <x:v>医院信息科/医务科</x:v>
      </x:c>
    </x:row>
    <x:row r="24">
      <x:c r="A24" s="49" t="str">
        <x:v>医生目录</x:v>
      </x:c>
      <x:c r="B24" s="49" t="str">
        <x:v>有效开始日期</x:v>
      </x:c>
      <x:c r="C24" s="49" t="str">
        <x:v>否</x:v>
      </x:c>
      <x:c r="D24" s="49" t="str">
        <x:v>日期</x:v>
      </x:c>
      <x:c r="E24" s="49" t="str">
        <x:v>按适用范围填写；格式YYYY-MM-DD</x:v>
      </x:c>
      <x:c r="F24" s="49" t="str">
        <x:v>医院信息科/医务科</x:v>
      </x:c>
    </x:row>
    <x:row r="25">
      <x:c r="A25" s="49" t="str">
        <x:v>医生目录</x:v>
      </x:c>
      <x:c r="B25" s="49" t="str">
        <x:v>有效结束日期</x:v>
      </x:c>
      <x:c r="C25" s="49" t="str">
        <x:v>否</x:v>
      </x:c>
      <x:c r="D25" s="49" t="str">
        <x:v>日期</x:v>
      </x:c>
      <x:c r="E25" s="49" t="str">
        <x:v>按适用范围填写；格式YYYY-MM-DD</x:v>
      </x:c>
      <x:c r="F25" s="49" t="str">
        <x:v>医院信息科/医务科</x:v>
      </x:c>
    </x:row>
    <x:row r="26">
      <x:c r="A26" s="49" t="str">
        <x:v>医生目录</x:v>
      </x:c>
      <x:c r="B26" s="49" t="str">
        <x:v>权威来源</x:v>
      </x:c>
      <x:c r="C26" s="49" t="str">
        <x:v>是</x:v>
      </x:c>
      <x:c r="D26" s="49" t="str">
        <x:v>文本</x:v>
      </x:c>
      <x:c r="E26" s="49" t="str">
        <x:v>不得为空</x:v>
      </x:c>
      <x:c r="F26" s="49" t="str">
        <x:v>医院信息科/医务科</x:v>
      </x:c>
    </x:row>
    <x:row r="27">
      <x:c r="A27" s="49" t="str">
        <x:v>医生目录</x:v>
      </x:c>
      <x:c r="B27" s="49" t="str">
        <x:v>来源更新时间</x:v>
      </x:c>
      <x:c r="C27" s="49" t="str">
        <x:v>否</x:v>
      </x:c>
      <x:c r="D27" s="49" t="str">
        <x:v>日期</x:v>
      </x:c>
      <x:c r="E27" s="49" t="str">
        <x:v>按适用范围填写；格式YYYY-MM-DD</x:v>
      </x:c>
      <x:c r="F27" s="49" t="str">
        <x:v>医院信息科/医务科</x:v>
      </x:c>
    </x:row>
    <x:row r="28">
      <x:c r="A28" s="49" t="str">
        <x:v>医生目录</x:v>
      </x:c>
      <x:c r="B28" s="49" t="str">
        <x:v>备注</x:v>
      </x:c>
      <x:c r="C28" s="49" t="str">
        <x:v>否</x:v>
      </x:c>
      <x:c r="D28" s="49" t="str">
        <x:v>文本</x:v>
      </x:c>
      <x:c r="E28" s="49" t="str">
        <x:v>按适用范围填写</x:v>
      </x:c>
      <x:c r="F28" s="49" t="str">
        <x:v>医院信息科/医务科</x:v>
      </x:c>
    </x:row>
    <x:row r="29">
      <x:c r="A29" s="49" t="str">
        <x:v>专业组</x:v>
      </x:c>
      <x:c r="B29" s="49" t="str">
        <x:v>数据状态</x:v>
      </x:c>
      <x:c r="C29" s="49" t="str">
        <x:v>是</x:v>
      </x:c>
      <x:c r="D29" s="49" t="str">
        <x:v>文本</x:v>
      </x:c>
      <x:c r="E29" s="49" t="str">
        <x:v>不得为空</x:v>
      </x:c>
      <x:c r="F29" s="49" t="str">
        <x:v>检验科</x:v>
      </x:c>
    </x:row>
    <x:row r="30">
      <x:c r="A30" s="49" t="str">
        <x:v>专业组</x:v>
      </x:c>
      <x:c r="B30" s="49" t="str">
        <x:v>专业组编码</x:v>
      </x:c>
      <x:c r="C30" s="49" t="str">
        <x:v>是</x:v>
      </x:c>
      <x:c r="D30" s="49" t="str">
        <x:v>文本</x:v>
      </x:c>
      <x:c r="E30" s="49" t="str">
        <x:v>不得为空；使用稳定编码，不用名称代替</x:v>
      </x:c>
      <x:c r="F30" s="49" t="str">
        <x:v>检验科</x:v>
      </x:c>
    </x:row>
    <x:row r="31">
      <x:c r="A31" s="49" t="str">
        <x:v>专业组</x:v>
      </x:c>
      <x:c r="B31" s="49" t="str">
        <x:v>专业组名称</x:v>
      </x:c>
      <x:c r="C31" s="49" t="str">
        <x:v>是</x:v>
      </x:c>
      <x:c r="D31" s="49" t="str">
        <x:v>文本</x:v>
      </x:c>
      <x:c r="E31" s="49" t="str">
        <x:v>不得为空</x:v>
      </x:c>
      <x:c r="F31" s="49" t="str">
        <x:v>检验科</x:v>
      </x:c>
    </x:row>
    <x:row r="32">
      <x:c r="A32" s="49" t="str">
        <x:v>专业组</x:v>
      </x:c>
      <x:c r="B32" s="49" t="str">
        <x:v>排序</x:v>
      </x:c>
      <x:c r="C32" s="49" t="str">
        <x:v>是</x:v>
      </x:c>
      <x:c r="D32" s="49" t="str">
        <x:v>文本</x:v>
      </x:c>
      <x:c r="E32" s="49" t="str">
        <x:v>不得为空</x:v>
      </x:c>
      <x:c r="F32" s="49" t="str">
        <x:v>检验科</x:v>
      </x:c>
    </x:row>
    <x:row r="33">
      <x:c r="A33" s="49" t="str">
        <x:v>专业组</x:v>
      </x:c>
      <x:c r="B33" s="49" t="str">
        <x:v>启用状态</x:v>
      </x:c>
      <x:c r="C33" s="49" t="str">
        <x:v>是</x:v>
      </x:c>
      <x:c r="D33" s="49" t="str">
        <x:v>文本</x:v>
      </x:c>
      <x:c r="E33" s="49" t="str">
        <x:v>不得为空</x:v>
      </x:c>
      <x:c r="F33" s="49" t="str">
        <x:v>检验科</x:v>
      </x:c>
    </x:row>
    <x:row r="34">
      <x:c r="A34" s="49" t="str">
        <x:v>专业组</x:v>
      </x:c>
      <x:c r="B34" s="49" t="str">
        <x:v>有效开始日期</x:v>
      </x:c>
      <x:c r="C34" s="49" t="str">
        <x:v>否</x:v>
      </x:c>
      <x:c r="D34" s="49" t="str">
        <x:v>日期</x:v>
      </x:c>
      <x:c r="E34" s="49" t="str">
        <x:v>按适用范围填写；格式YYYY-MM-DD</x:v>
      </x:c>
      <x:c r="F34" s="49" t="str">
        <x:v>检验科</x:v>
      </x:c>
    </x:row>
    <x:row r="35">
      <x:c r="A35" s="49" t="str">
        <x:v>专业组</x:v>
      </x:c>
      <x:c r="B35" s="49" t="str">
        <x:v>有效结束日期</x:v>
      </x:c>
      <x:c r="C35" s="49" t="str">
        <x:v>否</x:v>
      </x:c>
      <x:c r="D35" s="49" t="str">
        <x:v>日期</x:v>
      </x:c>
      <x:c r="E35" s="49" t="str">
        <x:v>按适用范围填写；格式YYYY-MM-DD</x:v>
      </x:c>
      <x:c r="F35" s="49" t="str">
        <x:v>检验科</x:v>
      </x:c>
    </x:row>
    <x:row r="36">
      <x:c r="A36" s="49" t="str">
        <x:v>专业组</x:v>
      </x:c>
      <x:c r="B36" s="49" t="str">
        <x:v>负责人</x:v>
      </x:c>
      <x:c r="C36" s="49" t="str">
        <x:v>否</x:v>
      </x:c>
      <x:c r="D36" s="49" t="str">
        <x:v>文本</x:v>
      </x:c>
      <x:c r="E36" s="49" t="str">
        <x:v>按适用范围填写</x:v>
      </x:c>
      <x:c r="F36" s="49" t="str">
        <x:v>检验科</x:v>
      </x:c>
    </x:row>
    <x:row r="37">
      <x:c r="A37" s="49" t="str">
        <x:v>专业组</x:v>
      </x:c>
      <x:c r="B37" s="49" t="str">
        <x:v>依据/版本</x:v>
      </x:c>
      <x:c r="C37" s="49" t="str">
        <x:v>是</x:v>
      </x:c>
      <x:c r="D37" s="49" t="str">
        <x:v>文本</x:v>
      </x:c>
      <x:c r="E37" s="49" t="str">
        <x:v>不得为空</x:v>
      </x:c>
      <x:c r="F37" s="49" t="str">
        <x:v>检验科</x:v>
      </x:c>
    </x:row>
    <x:row r="38">
      <x:c r="A38" s="49" t="str">
        <x:v>专业组</x:v>
      </x:c>
      <x:c r="B38" s="49" t="str">
        <x:v>备注</x:v>
      </x:c>
      <x:c r="C38" s="49" t="str">
        <x:v>否</x:v>
      </x:c>
      <x:c r="D38" s="49" t="str">
        <x:v>文本</x:v>
      </x:c>
      <x:c r="E38" s="49" t="str">
        <x:v>按适用范围填写</x:v>
      </x:c>
      <x:c r="F38" s="49" t="str">
        <x:v>检验科</x:v>
      </x:c>
    </x:row>
    <x:row r="39">
      <x:c r="A39" s="49" t="str">
        <x:v>检验项目</x:v>
      </x:c>
      <x:c r="B39" s="49" t="str">
        <x:v>数据状态</x:v>
      </x:c>
      <x:c r="C39" s="49" t="str">
        <x:v>是</x:v>
      </x:c>
      <x:c r="D39" s="49" t="str">
        <x:v>文本</x:v>
      </x:c>
      <x:c r="E39" s="49" t="str">
        <x:v>不得为空</x:v>
      </x:c>
      <x:c r="F39" s="49" t="str">
        <x:v>检验科</x:v>
      </x:c>
    </x:row>
    <x:row r="40">
      <x:c r="A40" s="49" t="str">
        <x:v>检验项目</x:v>
      </x:c>
      <x:c r="B40" s="49" t="str">
        <x:v>项目编码</x:v>
      </x:c>
      <x:c r="C40" s="49" t="str">
        <x:v>是</x:v>
      </x:c>
      <x:c r="D40" s="49" t="str">
        <x:v>文本</x:v>
      </x:c>
      <x:c r="E40" s="49" t="str">
        <x:v>不得为空；使用稳定编码，不用名称代替</x:v>
      </x:c>
      <x:c r="F40" s="49" t="str">
        <x:v>检验科</x:v>
      </x:c>
    </x:row>
    <x:row r="41">
      <x:c r="A41" s="49" t="str">
        <x:v>检验项目</x:v>
      </x:c>
      <x:c r="B41" s="49" t="str">
        <x:v>项目中文名称</x:v>
      </x:c>
      <x:c r="C41" s="49" t="str">
        <x:v>是</x:v>
      </x:c>
      <x:c r="D41" s="49" t="str">
        <x:v>文本</x:v>
      </x:c>
      <x:c r="E41" s="49" t="str">
        <x:v>不得为空</x:v>
      </x:c>
      <x:c r="F41" s="49" t="str">
        <x:v>检验科</x:v>
      </x:c>
    </x:row>
    <x:row r="42">
      <x:c r="A42" s="49" t="str">
        <x:v>检验项目</x:v>
      </x:c>
      <x:c r="B42" s="49" t="str">
        <x:v>专业组编码</x:v>
      </x:c>
      <x:c r="C42" s="49" t="str">
        <x:v>是</x:v>
      </x:c>
      <x:c r="D42" s="49" t="str">
        <x:v>文本</x:v>
      </x:c>
      <x:c r="E42" s="49" t="str">
        <x:v>不得为空；使用稳定编码，不用名称代替</x:v>
      </x:c>
      <x:c r="F42" s="49" t="str">
        <x:v>检验科</x:v>
      </x:c>
    </x:row>
    <x:row r="43">
      <x:c r="A43" s="49" t="str">
        <x:v>检验项目</x:v>
      </x:c>
      <x:c r="B43" s="49" t="str">
        <x:v>结果类型</x:v>
      </x:c>
      <x:c r="C43" s="49" t="str">
        <x:v>是</x:v>
      </x:c>
      <x:c r="D43" s="49" t="str">
        <x:v>文本</x:v>
      </x:c>
      <x:c r="E43" s="49" t="str">
        <x:v>不得为空</x:v>
      </x:c>
      <x:c r="F43" s="49" t="str">
        <x:v>检验科</x:v>
      </x:c>
    </x:row>
    <x:row r="44">
      <x:c r="A44" s="49" t="str">
        <x:v>检验项目</x:v>
      </x:c>
      <x:c r="B44" s="49" t="str">
        <x:v>小数位</x:v>
      </x:c>
      <x:c r="C44" s="49" t="str">
        <x:v>否</x:v>
      </x:c>
      <x:c r="D44" s="49" t="str">
        <x:v>数值</x:v>
      </x:c>
      <x:c r="E44" s="49" t="str">
        <x:v>按适用范围填写</x:v>
      </x:c>
      <x:c r="F44" s="49" t="str">
        <x:v>检验科</x:v>
      </x:c>
    </x:row>
    <x:row r="45">
      <x:c r="A45" s="49" t="str">
        <x:v>检验项目</x:v>
      </x:c>
      <x:c r="B45" s="49" t="str">
        <x:v>默认单位编码</x:v>
      </x:c>
      <x:c r="C45" s="49" t="str">
        <x:v>否</x:v>
      </x:c>
      <x:c r="D45" s="49" t="str">
        <x:v>文本</x:v>
      </x:c>
      <x:c r="E45" s="49" t="str">
        <x:v>按适用范围填写；使用稳定编码，不用名称代替</x:v>
      </x:c>
      <x:c r="F45" s="49" t="str">
        <x:v>检验科</x:v>
      </x:c>
    </x:row>
    <x:row r="46">
      <x:c r="A46" s="49" t="str">
        <x:v>检验项目</x:v>
      </x:c>
      <x:c r="B46" s="49" t="str">
        <x:v>标本类型编码</x:v>
      </x:c>
      <x:c r="C46" s="49" t="str">
        <x:v>是</x:v>
      </x:c>
      <x:c r="D46" s="49" t="str">
        <x:v>文本</x:v>
      </x:c>
      <x:c r="E46" s="49" t="str">
        <x:v>不得为空；使用稳定编码，不用名称代替</x:v>
      </x:c>
      <x:c r="F46" s="49" t="str">
        <x:v>检验科</x:v>
      </x:c>
    </x:row>
    <x:row r="47">
      <x:c r="A47" s="49" t="str">
        <x:v>检验项目</x:v>
      </x:c>
      <x:c r="B47" s="49" t="str">
        <x:v>报告顺序</x:v>
      </x:c>
      <x:c r="C47" s="49" t="str">
        <x:v>是</x:v>
      </x:c>
      <x:c r="D47" s="49" t="str">
        <x:v>数值</x:v>
      </x:c>
      <x:c r="E47" s="49" t="str">
        <x:v>不得为空</x:v>
      </x:c>
      <x:c r="F47" s="49" t="str">
        <x:v>检验科</x:v>
      </x:c>
    </x:row>
    <x:row r="48">
      <x:c r="A48" s="49" t="str">
        <x:v>检验项目</x:v>
      </x:c>
      <x:c r="B48" s="49" t="str">
        <x:v>可开立</x:v>
      </x:c>
      <x:c r="C48" s="49" t="str">
        <x:v>是</x:v>
      </x:c>
      <x:c r="D48" s="49" t="str">
        <x:v>文本</x:v>
      </x:c>
      <x:c r="E48" s="49" t="str">
        <x:v>不得为空</x:v>
      </x:c>
      <x:c r="F48" s="49" t="str">
        <x:v>检验科</x:v>
      </x:c>
    </x:row>
    <x:row r="49">
      <x:c r="A49" s="49" t="str">
        <x:v>检验项目</x:v>
      </x:c>
      <x:c r="B49" s="49" t="str">
        <x:v>启用状态</x:v>
      </x:c>
      <x:c r="C49" s="49" t="str">
        <x:v>是</x:v>
      </x:c>
      <x:c r="D49" s="49" t="str">
        <x:v>文本</x:v>
      </x:c>
      <x:c r="E49" s="49" t="str">
        <x:v>不得为空</x:v>
      </x:c>
      <x:c r="F49" s="49" t="str">
        <x:v>检验科</x:v>
      </x:c>
    </x:row>
    <x:row r="50">
      <x:c r="A50" s="49" t="str">
        <x:v>检验项目</x:v>
      </x:c>
      <x:c r="B50" s="49" t="str">
        <x:v>LOINC编码</x:v>
      </x:c>
      <x:c r="C50" s="49" t="str">
        <x:v>否</x:v>
      </x:c>
      <x:c r="D50" s="49" t="str">
        <x:v>文本</x:v>
      </x:c>
      <x:c r="E50" s="49" t="str">
        <x:v>按适用范围填写；使用稳定编码，不用名称代替</x:v>
      </x:c>
      <x:c r="F50" s="49" t="str">
        <x:v>检验科</x:v>
      </x:c>
    </x:row>
    <x:row r="51">
      <x:c r="A51" s="49" t="str">
        <x:v>检验项目</x:v>
      </x:c>
      <x:c r="B51" s="49" t="str">
        <x:v>有效开始日期</x:v>
      </x:c>
      <x:c r="C51" s="49" t="str">
        <x:v>否</x:v>
      </x:c>
      <x:c r="D51" s="49" t="str">
        <x:v>日期</x:v>
      </x:c>
      <x:c r="E51" s="49" t="str">
        <x:v>按适用范围填写；格式YYYY-MM-DD</x:v>
      </x:c>
      <x:c r="F51" s="49" t="str">
        <x:v>检验科</x:v>
      </x:c>
    </x:row>
    <x:row r="52">
      <x:c r="A52" s="49" t="str">
        <x:v>检验项目</x:v>
      </x:c>
      <x:c r="B52" s="49" t="str">
        <x:v>有效结束日期</x:v>
      </x:c>
      <x:c r="C52" s="49" t="str">
        <x:v>否</x:v>
      </x:c>
      <x:c r="D52" s="49" t="str">
        <x:v>日期</x:v>
      </x:c>
      <x:c r="E52" s="49" t="str">
        <x:v>按适用范围填写；格式YYYY-MM-DD</x:v>
      </x:c>
      <x:c r="F52" s="49" t="str">
        <x:v>检验科</x:v>
      </x:c>
    </x:row>
    <x:row r="53">
      <x:c r="A53" s="49" t="str">
        <x:v>检验项目</x:v>
      </x:c>
      <x:c r="B53" s="49" t="str">
        <x:v>依据/版本</x:v>
      </x:c>
      <x:c r="C53" s="49" t="str">
        <x:v>是</x:v>
      </x:c>
      <x:c r="D53" s="49" t="str">
        <x:v>文本</x:v>
      </x:c>
      <x:c r="E53" s="49" t="str">
        <x:v>不得为空</x:v>
      </x:c>
      <x:c r="F53" s="49" t="str">
        <x:v>检验科</x:v>
      </x:c>
    </x:row>
    <x:row r="54">
      <x:c r="A54" s="49" t="str">
        <x:v>检验项目</x:v>
      </x:c>
      <x:c r="B54" s="49" t="str">
        <x:v>备注</x:v>
      </x:c>
      <x:c r="C54" s="49" t="str">
        <x:v>否</x:v>
      </x:c>
      <x:c r="D54" s="49" t="str">
        <x:v>文本</x:v>
      </x:c>
      <x:c r="E54" s="49" t="str">
        <x:v>按适用范围填写</x:v>
      </x:c>
      <x:c r="F54" s="49" t="str">
        <x:v>检验科</x:v>
      </x:c>
    </x:row>
    <x:row r="55">
      <x:c r="A55" s="49" t="str">
        <x:v>标本容器</x:v>
      </x:c>
      <x:c r="B55" s="49" t="str">
        <x:v>数据状态</x:v>
      </x:c>
      <x:c r="C55" s="49" t="str">
        <x:v>是</x:v>
      </x:c>
      <x:c r="D55" s="49" t="str">
        <x:v>文本</x:v>
      </x:c>
      <x:c r="E55" s="49" t="str">
        <x:v>不得为空</x:v>
      </x:c>
      <x:c r="F55" s="49" t="str">
        <x:v>检验科/护理部</x:v>
      </x:c>
    </x:row>
    <x:row r="56">
      <x:c r="A56" s="49" t="str">
        <x:v>标本容器</x:v>
      </x:c>
      <x:c r="B56" s="49" t="str">
        <x:v>标本类型编码</x:v>
      </x:c>
      <x:c r="C56" s="49" t="str">
        <x:v>是</x:v>
      </x:c>
      <x:c r="D56" s="49" t="str">
        <x:v>文本</x:v>
      </x:c>
      <x:c r="E56" s="49" t="str">
        <x:v>不得为空；使用稳定编码，不用名称代替</x:v>
      </x:c>
      <x:c r="F56" s="49" t="str">
        <x:v>检验科/护理部</x:v>
      </x:c>
    </x:row>
    <x:row r="57">
      <x:c r="A57" s="49" t="str">
        <x:v>标本容器</x:v>
      </x:c>
      <x:c r="B57" s="49" t="str">
        <x:v>标本名称</x:v>
      </x:c>
      <x:c r="C57" s="49" t="str">
        <x:v>是</x:v>
      </x:c>
      <x:c r="D57" s="49" t="str">
        <x:v>文本</x:v>
      </x:c>
      <x:c r="E57" s="49" t="str">
        <x:v>不得为空</x:v>
      </x:c>
      <x:c r="F57" s="49" t="str">
        <x:v>检验科/护理部</x:v>
      </x:c>
    </x:row>
    <x:row r="58">
      <x:c r="A58" s="49" t="str">
        <x:v>标本容器</x:v>
      </x:c>
      <x:c r="B58" s="49" t="str">
        <x:v>容器编码</x:v>
      </x:c>
      <x:c r="C58" s="49" t="str">
        <x:v>是</x:v>
      </x:c>
      <x:c r="D58" s="49" t="str">
        <x:v>文本</x:v>
      </x:c>
      <x:c r="E58" s="49" t="str">
        <x:v>不得为空；使用稳定编码，不用名称代替</x:v>
      </x:c>
      <x:c r="F58" s="49" t="str">
        <x:v>检验科/护理部</x:v>
      </x:c>
    </x:row>
    <x:row r="59">
      <x:c r="A59" s="49" t="str">
        <x:v>标本容器</x:v>
      </x:c>
      <x:c r="B59" s="49" t="str">
        <x:v>容器名称</x:v>
      </x:c>
      <x:c r="C59" s="49" t="str">
        <x:v>是</x:v>
      </x:c>
      <x:c r="D59" s="49" t="str">
        <x:v>文本</x:v>
      </x:c>
      <x:c r="E59" s="49" t="str">
        <x:v>不得为空</x:v>
      </x:c>
      <x:c r="F59" s="49" t="str">
        <x:v>检验科/护理部</x:v>
      </x:c>
    </x:row>
    <x:row r="60">
      <x:c r="A60" s="49" t="str">
        <x:v>标本容器</x:v>
      </x:c>
      <x:c r="B60" s="49" t="str">
        <x:v>默认采集量</x:v>
      </x:c>
      <x:c r="C60" s="49" t="str">
        <x:v>否</x:v>
      </x:c>
      <x:c r="D60" s="49" t="str">
        <x:v>数值</x:v>
      </x:c>
      <x:c r="E60" s="49" t="str">
        <x:v>按适用范围填写</x:v>
      </x:c>
      <x:c r="F60" s="49" t="str">
        <x:v>检验科/护理部</x:v>
      </x:c>
    </x:row>
    <x:row r="61">
      <x:c r="A61" s="49" t="str">
        <x:v>标本容器</x:v>
      </x:c>
      <x:c r="B61" s="49" t="str">
        <x:v>采集量单位</x:v>
      </x:c>
      <x:c r="C61" s="49" t="str">
        <x:v>否</x:v>
      </x:c>
      <x:c r="D61" s="49" t="str">
        <x:v>数值</x:v>
      </x:c>
      <x:c r="E61" s="49" t="str">
        <x:v>按适用范围填写</x:v>
      </x:c>
      <x:c r="F61" s="49" t="str">
        <x:v>检验科/护理部</x:v>
      </x:c>
    </x:row>
    <x:row r="62">
      <x:c r="A62" s="49" t="str">
        <x:v>标本容器</x:v>
      </x:c>
      <x:c r="B62" s="49" t="str">
        <x:v>保存温度</x:v>
      </x:c>
      <x:c r="C62" s="49" t="str">
        <x:v>否</x:v>
      </x:c>
      <x:c r="D62" s="49" t="str">
        <x:v>文本</x:v>
      </x:c>
      <x:c r="E62" s="49" t="str">
        <x:v>按适用范围填写</x:v>
      </x:c>
      <x:c r="F62" s="49" t="str">
        <x:v>检验科/护理部</x:v>
      </x:c>
    </x:row>
    <x:row r="63">
      <x:c r="A63" s="49" t="str">
        <x:v>标本容器</x:v>
      </x:c>
      <x:c r="B63" s="49" t="str">
        <x:v>稳定时长(小时)</x:v>
      </x:c>
      <x:c r="C63" s="49" t="str">
        <x:v>否</x:v>
      </x:c>
      <x:c r="D63" s="49" t="str">
        <x:v>数值</x:v>
      </x:c>
      <x:c r="E63" s="49" t="str">
        <x:v>按适用范围填写</x:v>
      </x:c>
      <x:c r="F63" s="49" t="str">
        <x:v>检验科/护理部</x:v>
      </x:c>
    </x:row>
    <x:row r="64">
      <x:c r="A64" s="49" t="str">
        <x:v>标本容器</x:v>
      </x:c>
      <x:c r="B64" s="49" t="str">
        <x:v>拒收规则</x:v>
      </x:c>
      <x:c r="C64" s="49" t="str">
        <x:v>是</x:v>
      </x:c>
      <x:c r="D64" s="49" t="str">
        <x:v>文本</x:v>
      </x:c>
      <x:c r="E64" s="49" t="str">
        <x:v>不得为空</x:v>
      </x:c>
      <x:c r="F64" s="49" t="str">
        <x:v>检验科/护理部</x:v>
      </x:c>
    </x:row>
    <x:row r="65">
      <x:c r="A65" s="49" t="str">
        <x:v>标本容器</x:v>
      </x:c>
      <x:c r="B65" s="49" t="str">
        <x:v>SNOMED CT编码</x:v>
      </x:c>
      <x:c r="C65" s="49" t="str">
        <x:v>否</x:v>
      </x:c>
      <x:c r="D65" s="49" t="str">
        <x:v>文本</x:v>
      </x:c>
      <x:c r="E65" s="49" t="str">
        <x:v>按适用范围填写；使用稳定编码，不用名称代替</x:v>
      </x:c>
      <x:c r="F65" s="49" t="str">
        <x:v>检验科/护理部</x:v>
      </x:c>
    </x:row>
    <x:row r="66">
      <x:c r="A66" s="49" t="str">
        <x:v>标本容器</x:v>
      </x:c>
      <x:c r="B66" s="49" t="str">
        <x:v>启用状态</x:v>
      </x:c>
      <x:c r="C66" s="49" t="str">
        <x:v>是</x:v>
      </x:c>
      <x:c r="D66" s="49" t="str">
        <x:v>文本</x:v>
      </x:c>
      <x:c r="E66" s="49" t="str">
        <x:v>不得为空</x:v>
      </x:c>
      <x:c r="F66" s="49" t="str">
        <x:v>检验科/护理部</x:v>
      </x:c>
    </x:row>
    <x:row r="67">
      <x:c r="A67" s="49" t="str">
        <x:v>标本容器</x:v>
      </x:c>
      <x:c r="B67" s="49" t="str">
        <x:v>依据/版本</x:v>
      </x:c>
      <x:c r="C67" s="49" t="str">
        <x:v>是</x:v>
      </x:c>
      <x:c r="D67" s="49" t="str">
        <x:v>文本</x:v>
      </x:c>
      <x:c r="E67" s="49" t="str">
        <x:v>不得为空</x:v>
      </x:c>
      <x:c r="F67" s="49" t="str">
        <x:v>检验科/护理部</x:v>
      </x:c>
    </x:row>
    <x:row r="68">
      <x:c r="A68" s="49" t="str">
        <x:v>标本容器</x:v>
      </x:c>
      <x:c r="B68" s="49" t="str">
        <x:v>备注</x:v>
      </x:c>
      <x:c r="C68" s="49" t="str">
        <x:v>否</x:v>
      </x:c>
      <x:c r="D68" s="49" t="str">
        <x:v>文本</x:v>
      </x:c>
      <x:c r="E68" s="49" t="str">
        <x:v>按适用范围填写</x:v>
      </x:c>
      <x:c r="F68" s="49" t="str">
        <x:v>检验科/护理部</x:v>
      </x:c>
    </x:row>
    <x:row r="69">
      <x:c r="A69" s="49" t="str">
        <x:v>结果单位</x:v>
      </x:c>
      <x:c r="B69" s="49" t="str">
        <x:v>数据状态</x:v>
      </x:c>
      <x:c r="C69" s="49" t="str">
        <x:v>是</x:v>
      </x:c>
      <x:c r="D69" s="49" t="str">
        <x:v>文本</x:v>
      </x:c>
      <x:c r="E69" s="49" t="str">
        <x:v>不得为空</x:v>
      </x:c>
      <x:c r="F69" s="49" t="str">
        <x:v>检验科</x:v>
      </x:c>
    </x:row>
    <x:row r="70">
      <x:c r="A70" s="49" t="str">
        <x:v>结果单位</x:v>
      </x:c>
      <x:c r="B70" s="49" t="str">
        <x:v>单位编码</x:v>
      </x:c>
      <x:c r="C70" s="49" t="str">
        <x:v>是</x:v>
      </x:c>
      <x:c r="D70" s="49" t="str">
        <x:v>文本</x:v>
      </x:c>
      <x:c r="E70" s="49" t="str">
        <x:v>不得为空；使用稳定编码，不用名称代替</x:v>
      </x:c>
      <x:c r="F70" s="49" t="str">
        <x:v>检验科</x:v>
      </x:c>
    </x:row>
    <x:row r="71">
      <x:c r="A71" s="49" t="str">
        <x:v>结果单位</x:v>
      </x:c>
      <x:c r="B71" s="49" t="str">
        <x:v>显示名称</x:v>
      </x:c>
      <x:c r="C71" s="49" t="str">
        <x:v>是</x:v>
      </x:c>
      <x:c r="D71" s="49" t="str">
        <x:v>文本</x:v>
      </x:c>
      <x:c r="E71" s="49" t="str">
        <x:v>不得为空</x:v>
      </x:c>
      <x:c r="F71" s="49" t="str">
        <x:v>检验科</x:v>
      </x:c>
    </x:row>
    <x:row r="72">
      <x:c r="A72" s="49" t="str">
        <x:v>结果单位</x:v>
      </x:c>
      <x:c r="B72" s="49" t="str">
        <x:v>显示符号</x:v>
      </x:c>
      <x:c r="C72" s="49" t="str">
        <x:v>是</x:v>
      </x:c>
      <x:c r="D72" s="49" t="str">
        <x:v>文本</x:v>
      </x:c>
      <x:c r="E72" s="49" t="str">
        <x:v>不得为空</x:v>
      </x:c>
      <x:c r="F72" s="49" t="str">
        <x:v>检验科</x:v>
      </x:c>
    </x:row>
    <x:row r="73">
      <x:c r="A73" s="49" t="str">
        <x:v>结果单位</x:v>
      </x:c>
      <x:c r="B73" s="49" t="str">
        <x:v>UCUM编码</x:v>
      </x:c>
      <x:c r="C73" s="49" t="str">
        <x:v>是</x:v>
      </x:c>
      <x:c r="D73" s="49" t="str">
        <x:v>文本</x:v>
      </x:c>
      <x:c r="E73" s="49" t="str">
        <x:v>不得为空；使用稳定编码，不用名称代替</x:v>
      </x:c>
      <x:c r="F73" s="49" t="str">
        <x:v>检验科</x:v>
      </x:c>
    </x:row>
    <x:row r="74">
      <x:c r="A74" s="49" t="str">
        <x:v>结果单位</x:v>
      </x:c>
      <x:c r="B74" s="49" t="str">
        <x:v>启用状态</x:v>
      </x:c>
      <x:c r="C74" s="49" t="str">
        <x:v>是</x:v>
      </x:c>
      <x:c r="D74" s="49" t="str">
        <x:v>文本</x:v>
      </x:c>
      <x:c r="E74" s="49" t="str">
        <x:v>不得为空</x:v>
      </x:c>
      <x:c r="F74" s="49" t="str">
        <x:v>检验科</x:v>
      </x:c>
    </x:row>
    <x:row r="75">
      <x:c r="A75" s="49" t="str">
        <x:v>结果单位</x:v>
      </x:c>
      <x:c r="B75" s="49" t="str">
        <x:v>有效开始日期</x:v>
      </x:c>
      <x:c r="C75" s="49" t="str">
        <x:v>否</x:v>
      </x:c>
      <x:c r="D75" s="49" t="str">
        <x:v>日期</x:v>
      </x:c>
      <x:c r="E75" s="49" t="str">
        <x:v>按适用范围填写；格式YYYY-MM-DD</x:v>
      </x:c>
      <x:c r="F75" s="49" t="str">
        <x:v>检验科</x:v>
      </x:c>
    </x:row>
    <x:row r="76">
      <x:c r="A76" s="49" t="str">
        <x:v>结果单位</x:v>
      </x:c>
      <x:c r="B76" s="49" t="str">
        <x:v>有效结束日期</x:v>
      </x:c>
      <x:c r="C76" s="49" t="str">
        <x:v>否</x:v>
      </x:c>
      <x:c r="D76" s="49" t="str">
        <x:v>日期</x:v>
      </x:c>
      <x:c r="E76" s="49" t="str">
        <x:v>按适用范围填写；格式YYYY-MM-DD</x:v>
      </x:c>
      <x:c r="F76" s="49" t="str">
        <x:v>检验科</x:v>
      </x:c>
    </x:row>
    <x:row r="77">
      <x:c r="A77" s="49" t="str">
        <x:v>结果单位</x:v>
      </x:c>
      <x:c r="B77" s="49" t="str">
        <x:v>依据/版本</x:v>
      </x:c>
      <x:c r="C77" s="49" t="str">
        <x:v>是</x:v>
      </x:c>
      <x:c r="D77" s="49" t="str">
        <x:v>文本</x:v>
      </x:c>
      <x:c r="E77" s="49" t="str">
        <x:v>不得为空</x:v>
      </x:c>
      <x:c r="F77" s="49" t="str">
        <x:v>检验科</x:v>
      </x:c>
    </x:row>
    <x:row r="78">
      <x:c r="A78" s="49" t="str">
        <x:v>结果单位</x:v>
      </x:c>
      <x:c r="B78" s="49" t="str">
        <x:v>备注</x:v>
      </x:c>
      <x:c r="C78" s="49" t="str">
        <x:v>否</x:v>
      </x:c>
      <x:c r="D78" s="49" t="str">
        <x:v>文本</x:v>
      </x:c>
      <x:c r="E78" s="49" t="str">
        <x:v>按适用范围填写</x:v>
      </x:c>
      <x:c r="F78" s="49" t="str">
        <x:v>检验科</x:v>
      </x:c>
    </x:row>
    <x:row r="79">
      <x:c r="A79" s="49" t="str">
        <x:v>检验方法</x:v>
      </x:c>
      <x:c r="B79" s="49" t="str">
        <x:v>数据状态</x:v>
      </x:c>
      <x:c r="C79" s="49" t="str">
        <x:v>是</x:v>
      </x:c>
      <x:c r="D79" s="49" t="str">
        <x:v>文本</x:v>
      </x:c>
      <x:c r="E79" s="49" t="str">
        <x:v>不得为空</x:v>
      </x:c>
      <x:c r="F79" s="49" t="str">
        <x:v>检验科</x:v>
      </x:c>
    </x:row>
    <x:row r="80">
      <x:c r="A80" s="49" t="str">
        <x:v>检验方法</x:v>
      </x:c>
      <x:c r="B80" s="49" t="str">
        <x:v>方法编码</x:v>
      </x:c>
      <x:c r="C80" s="49" t="str">
        <x:v>是</x:v>
      </x:c>
      <x:c r="D80" s="49" t="str">
        <x:v>文本</x:v>
      </x:c>
      <x:c r="E80" s="49" t="str">
        <x:v>不得为空；使用稳定编码，不用名称代替</x:v>
      </x:c>
      <x:c r="F80" s="49" t="str">
        <x:v>检验科</x:v>
      </x:c>
    </x:row>
    <x:row r="81">
      <x:c r="A81" s="49" t="str">
        <x:v>检验方法</x:v>
      </x:c>
      <x:c r="B81" s="49" t="str">
        <x:v>方法名称</x:v>
      </x:c>
      <x:c r="C81" s="49" t="str">
        <x:v>是</x:v>
      </x:c>
      <x:c r="D81" s="49" t="str">
        <x:v>文本</x:v>
      </x:c>
      <x:c r="E81" s="49" t="str">
        <x:v>不得为空</x:v>
      </x:c>
      <x:c r="F81" s="49" t="str">
        <x:v>检验科</x:v>
      </x:c>
    </x:row>
    <x:row r="82">
      <x:c r="A82" s="49" t="str">
        <x:v>检验方法</x:v>
      </x:c>
      <x:c r="B82" s="49" t="str">
        <x:v>方法描述</x:v>
      </x:c>
      <x:c r="C82" s="49" t="str">
        <x:v>否</x:v>
      </x:c>
      <x:c r="D82" s="49" t="str">
        <x:v>文本</x:v>
      </x:c>
      <x:c r="E82" s="49" t="str">
        <x:v>按适用范围填写</x:v>
      </x:c>
      <x:c r="F82" s="49" t="str">
        <x:v>检验科</x:v>
      </x:c>
    </x:row>
    <x:row r="83">
      <x:c r="A83" s="49" t="str">
        <x:v>检验方法</x:v>
      </x:c>
      <x:c r="B83" s="49" t="str">
        <x:v>启用状态</x:v>
      </x:c>
      <x:c r="C83" s="49" t="str">
        <x:v>是</x:v>
      </x:c>
      <x:c r="D83" s="49" t="str">
        <x:v>文本</x:v>
      </x:c>
      <x:c r="E83" s="49" t="str">
        <x:v>不得为空</x:v>
      </x:c>
      <x:c r="F83" s="49" t="str">
        <x:v>检验科</x:v>
      </x:c>
    </x:row>
    <x:row r="84">
      <x:c r="A84" s="49" t="str">
        <x:v>检验方法</x:v>
      </x:c>
      <x:c r="B84" s="49" t="str">
        <x:v>有效开始日期</x:v>
      </x:c>
      <x:c r="C84" s="49" t="str">
        <x:v>否</x:v>
      </x:c>
      <x:c r="D84" s="49" t="str">
        <x:v>日期</x:v>
      </x:c>
      <x:c r="E84" s="49" t="str">
        <x:v>按适用范围填写；格式YYYY-MM-DD</x:v>
      </x:c>
      <x:c r="F84" s="49" t="str">
        <x:v>检验科</x:v>
      </x:c>
    </x:row>
    <x:row r="85">
      <x:c r="A85" s="49" t="str">
        <x:v>检验方法</x:v>
      </x:c>
      <x:c r="B85" s="49" t="str">
        <x:v>有效结束日期</x:v>
      </x:c>
      <x:c r="C85" s="49" t="str">
        <x:v>否</x:v>
      </x:c>
      <x:c r="D85" s="49" t="str">
        <x:v>日期</x:v>
      </x:c>
      <x:c r="E85" s="49" t="str">
        <x:v>按适用范围填写；格式YYYY-MM-DD</x:v>
      </x:c>
      <x:c r="F85" s="49" t="str">
        <x:v>检验科</x:v>
      </x:c>
    </x:row>
    <x:row r="86">
      <x:c r="A86" s="49" t="str">
        <x:v>检验方法</x:v>
      </x:c>
      <x:c r="B86" s="49" t="str">
        <x:v>依据/版本</x:v>
      </x:c>
      <x:c r="C86" s="49" t="str">
        <x:v>是</x:v>
      </x:c>
      <x:c r="D86" s="49" t="str">
        <x:v>文本</x:v>
      </x:c>
      <x:c r="E86" s="49" t="str">
        <x:v>不得为空</x:v>
      </x:c>
      <x:c r="F86" s="49" t="str">
        <x:v>检验科</x:v>
      </x:c>
    </x:row>
    <x:row r="87">
      <x:c r="A87" s="49" t="str">
        <x:v>检验方法</x:v>
      </x:c>
      <x:c r="B87" s="49" t="str">
        <x:v>备注</x:v>
      </x:c>
      <x:c r="C87" s="49" t="str">
        <x:v>否</x:v>
      </x:c>
      <x:c r="D87" s="49" t="str">
        <x:v>文本</x:v>
      </x:c>
      <x:c r="E87" s="49" t="str">
        <x:v>按适用范围填写</x:v>
      </x:c>
      <x:c r="F87" s="49" t="str">
        <x:v>检验科</x:v>
      </x:c>
    </x:row>
    <x:row r="88">
      <x:c r="A88" s="49" t="str">
        <x:v>参考范围危急值</x:v>
      </x:c>
      <x:c r="B88" s="49" t="str">
        <x:v>数据状态</x:v>
      </x:c>
      <x:c r="C88" s="49" t="str">
        <x:v>是</x:v>
      </x:c>
      <x:c r="D88" s="49" t="str">
        <x:v>文本</x:v>
      </x:c>
      <x:c r="E88" s="49" t="str">
        <x:v>不得为空</x:v>
      </x:c>
      <x:c r="F88" s="49" t="str">
        <x:v>检验科</x:v>
      </x:c>
    </x:row>
    <x:row r="89">
      <x:c r="A89" s="49" t="str">
        <x:v>参考范围危急值</x:v>
      </x:c>
      <x:c r="B89" s="49" t="str">
        <x:v>项目编码</x:v>
      </x:c>
      <x:c r="C89" s="49" t="str">
        <x:v>是</x:v>
      </x:c>
      <x:c r="D89" s="49" t="str">
        <x:v>文本</x:v>
      </x:c>
      <x:c r="E89" s="49" t="str">
        <x:v>不得为空；使用稳定编码，不用名称代替</x:v>
      </x:c>
      <x:c r="F89" s="49" t="str">
        <x:v>检验科</x:v>
      </x:c>
    </x:row>
    <x:row r="90">
      <x:c r="A90" s="49" t="str">
        <x:v>参考范围危急值</x:v>
      </x:c>
      <x:c r="B90" s="49" t="str">
        <x:v>标本类型编码</x:v>
      </x:c>
      <x:c r="C90" s="49" t="str">
        <x:v>是</x:v>
      </x:c>
      <x:c r="D90" s="49" t="str">
        <x:v>文本</x:v>
      </x:c>
      <x:c r="E90" s="49" t="str">
        <x:v>不得为空；使用稳定编码，不用名称代替</x:v>
      </x:c>
      <x:c r="F90" s="49" t="str">
        <x:v>检验科</x:v>
      </x:c>
    </x:row>
    <x:row r="91">
      <x:c r="A91" s="49" t="str">
        <x:v>参考范围危急值</x:v>
      </x:c>
      <x:c r="B91" s="49" t="str">
        <x:v>性别</x:v>
      </x:c>
      <x:c r="C91" s="49" t="str">
        <x:v>是</x:v>
      </x:c>
      <x:c r="D91" s="49" t="str">
        <x:v>文本</x:v>
      </x:c>
      <x:c r="E91" s="49" t="str">
        <x:v>不得为空</x:v>
      </x:c>
      <x:c r="F91" s="49" t="str">
        <x:v>检验科</x:v>
      </x:c>
    </x:row>
    <x:row r="92">
      <x:c r="A92" s="49" t="str">
        <x:v>参考范围危急值</x:v>
      </x:c>
      <x:c r="B92" s="49" t="str">
        <x:v>最小年龄</x:v>
      </x:c>
      <x:c r="C92" s="49" t="str">
        <x:v>否</x:v>
      </x:c>
      <x:c r="D92" s="49" t="str">
        <x:v>数值</x:v>
      </x:c>
      <x:c r="E92" s="49" t="str">
        <x:v>按适用范围填写</x:v>
      </x:c>
      <x:c r="F92" s="49" t="str">
        <x:v>检验科</x:v>
      </x:c>
    </x:row>
    <x:row r="93">
      <x:c r="A93" s="49" t="str">
        <x:v>参考范围危急值</x:v>
      </x:c>
      <x:c r="B93" s="49" t="str">
        <x:v>最大年龄</x:v>
      </x:c>
      <x:c r="C93" s="49" t="str">
        <x:v>否</x:v>
      </x:c>
      <x:c r="D93" s="49" t="str">
        <x:v>数值</x:v>
      </x:c>
      <x:c r="E93" s="49" t="str">
        <x:v>按适用范围填写</x:v>
      </x:c>
      <x:c r="F93" s="49" t="str">
        <x:v>检验科</x:v>
      </x:c>
    </x:row>
    <x:row r="94">
      <x:c r="A94" s="49" t="str">
        <x:v>参考范围危急值</x:v>
      </x:c>
      <x:c r="B94" s="49" t="str">
        <x:v>年龄单位</x:v>
      </x:c>
      <x:c r="C94" s="49" t="str">
        <x:v>是</x:v>
      </x:c>
      <x:c r="D94" s="49" t="str">
        <x:v>数值</x:v>
      </x:c>
      <x:c r="E94" s="49" t="str">
        <x:v>不得为空</x:v>
      </x:c>
      <x:c r="F94" s="49" t="str">
        <x:v>检验科</x:v>
      </x:c>
    </x:row>
    <x:row r="95">
      <x:c r="A95" s="49" t="str">
        <x:v>参考范围危急值</x:v>
      </x:c>
      <x:c r="B95" s="49" t="str">
        <x:v>正常低值</x:v>
      </x:c>
      <x:c r="C95" s="49" t="str">
        <x:v>否</x:v>
      </x:c>
      <x:c r="D95" s="49" t="str">
        <x:v>数值</x:v>
      </x:c>
      <x:c r="E95" s="49" t="str">
        <x:v>按适用范围填写</x:v>
      </x:c>
      <x:c r="F95" s="49" t="str">
        <x:v>检验科</x:v>
      </x:c>
    </x:row>
    <x:row r="96">
      <x:c r="A96" s="49" t="str">
        <x:v>参考范围危急值</x:v>
      </x:c>
      <x:c r="B96" s="49" t="str">
        <x:v>正常高值</x:v>
      </x:c>
      <x:c r="C96" s="49" t="str">
        <x:v>否</x:v>
      </x:c>
      <x:c r="D96" s="49" t="str">
        <x:v>数值</x:v>
      </x:c>
      <x:c r="E96" s="49" t="str">
        <x:v>按适用范围填写</x:v>
      </x:c>
      <x:c r="F96" s="49" t="str">
        <x:v>检验科</x:v>
      </x:c>
    </x:row>
    <x:row r="97">
      <x:c r="A97" s="49" t="str">
        <x:v>参考范围危急值</x:v>
      </x:c>
      <x:c r="B97" s="49" t="str">
        <x:v>危急低值</x:v>
      </x:c>
      <x:c r="C97" s="49" t="str">
        <x:v>否</x:v>
      </x:c>
      <x:c r="D97" s="49" t="str">
        <x:v>数值</x:v>
      </x:c>
      <x:c r="E97" s="49" t="str">
        <x:v>按适用范围填写</x:v>
      </x:c>
      <x:c r="F97" s="49" t="str">
        <x:v>检验科</x:v>
      </x:c>
    </x:row>
    <x:row r="98">
      <x:c r="A98" s="49" t="str">
        <x:v>参考范围危急值</x:v>
      </x:c>
      <x:c r="B98" s="49" t="str">
        <x:v>危急高值</x:v>
      </x:c>
      <x:c r="C98" s="49" t="str">
        <x:v>否</x:v>
      </x:c>
      <x:c r="D98" s="49" t="str">
        <x:v>数值</x:v>
      </x:c>
      <x:c r="E98" s="49" t="str">
        <x:v>按适用范围填写</x:v>
      </x:c>
      <x:c r="F98" s="49" t="str">
        <x:v>检验科</x:v>
      </x:c>
    </x:row>
    <x:row r="99">
      <x:c r="A99" s="49" t="str">
        <x:v>参考范围危急值</x:v>
      </x:c>
      <x:c r="B99" s="49" t="str">
        <x:v>单位编码</x:v>
      </x:c>
      <x:c r="C99" s="49" t="str">
        <x:v>是</x:v>
      </x:c>
      <x:c r="D99" s="49" t="str">
        <x:v>文本</x:v>
      </x:c>
      <x:c r="E99" s="49" t="str">
        <x:v>不得为空；使用稳定编码，不用名称代替</x:v>
      </x:c>
      <x:c r="F99" s="49" t="str">
        <x:v>检验科</x:v>
      </x:c>
    </x:row>
    <x:row r="100">
      <x:c r="A100" s="49" t="str">
        <x:v>参考范围危急值</x:v>
      </x:c>
      <x:c r="B100" s="49" t="str">
        <x:v>危急值适用</x:v>
      </x:c>
      <x:c r="C100" s="49" t="str">
        <x:v>是</x:v>
      </x:c>
      <x:c r="D100" s="49" t="str">
        <x:v>数值</x:v>
      </x:c>
      <x:c r="E100" s="49" t="str">
        <x:v>不得为空</x:v>
      </x:c>
      <x:c r="F100" s="49" t="str">
        <x:v>检验科</x:v>
      </x:c>
    </x:row>
    <x:row r="101">
      <x:c r="A101" s="49" t="str">
        <x:v>参考范围危急值</x:v>
      </x:c>
      <x:c r="B101" s="49" t="str">
        <x:v>生效日期</x:v>
      </x:c>
      <x:c r="C101" s="49" t="str">
        <x:v>是</x:v>
      </x:c>
      <x:c r="D101" s="49" t="str">
        <x:v>日期</x:v>
      </x:c>
      <x:c r="E101" s="49" t="str">
        <x:v>不得为空；格式YYYY-MM-DD</x:v>
      </x:c>
      <x:c r="F101" s="49" t="str">
        <x:v>检验科</x:v>
      </x:c>
    </x:row>
    <x:row r="102">
      <x:c r="A102" s="49" t="str">
        <x:v>参考范围危急值</x:v>
      </x:c>
      <x:c r="B102" s="49" t="str">
        <x:v>失效日期</x:v>
      </x:c>
      <x:c r="C102" s="49" t="str">
        <x:v>否</x:v>
      </x:c>
      <x:c r="D102" s="49" t="str">
        <x:v>日期</x:v>
      </x:c>
      <x:c r="E102" s="49" t="str">
        <x:v>按适用范围填写；格式YYYY-MM-DD</x:v>
      </x:c>
      <x:c r="F102" s="49" t="str">
        <x:v>检验科</x:v>
      </x:c>
    </x:row>
    <x:row r="103">
      <x:c r="A103" s="49" t="str">
        <x:v>参考范围危急值</x:v>
      </x:c>
      <x:c r="B103" s="49" t="str">
        <x:v>审核人</x:v>
      </x:c>
      <x:c r="C103" s="49" t="str">
        <x:v>是</x:v>
      </x:c>
      <x:c r="D103" s="49" t="str">
        <x:v>文本</x:v>
      </x:c>
      <x:c r="E103" s="49" t="str">
        <x:v>不得为空</x:v>
      </x:c>
      <x:c r="F103" s="49" t="str">
        <x:v>检验科</x:v>
      </x:c>
    </x:row>
    <x:row r="104">
      <x:c r="A104" s="49" t="str">
        <x:v>参考范围危急值</x:v>
      </x:c>
      <x:c r="B104" s="49" t="str">
        <x:v>审核日期</x:v>
      </x:c>
      <x:c r="C104" s="49" t="str">
        <x:v>是</x:v>
      </x:c>
      <x:c r="D104" s="49" t="str">
        <x:v>日期</x:v>
      </x:c>
      <x:c r="E104" s="49" t="str">
        <x:v>不得为空；格式YYYY-MM-DD</x:v>
      </x:c>
      <x:c r="F104" s="49" t="str">
        <x:v>检验科</x:v>
      </x:c>
    </x:row>
    <x:row r="105">
      <x:c r="A105" s="49" t="str">
        <x:v>参考范围危急值</x:v>
      </x:c>
      <x:c r="B105" s="49" t="str">
        <x:v>依据/版本</x:v>
      </x:c>
      <x:c r="C105" s="49" t="str">
        <x:v>是</x:v>
      </x:c>
      <x:c r="D105" s="49" t="str">
        <x:v>文本</x:v>
      </x:c>
      <x:c r="E105" s="49" t="str">
        <x:v>不得为空</x:v>
      </x:c>
      <x:c r="F105" s="49" t="str">
        <x:v>检验科</x:v>
      </x:c>
    </x:row>
    <x:row r="106">
      <x:c r="A106" s="49" t="str">
        <x:v>组合项目</x:v>
      </x:c>
      <x:c r="B106" s="49" t="str">
        <x:v>数据状态</x:v>
      </x:c>
      <x:c r="C106" s="49" t="str">
        <x:v>是</x:v>
      </x:c>
      <x:c r="D106" s="49" t="str">
        <x:v>文本</x:v>
      </x:c>
      <x:c r="E106" s="49" t="str">
        <x:v>不得为空</x:v>
      </x:c>
      <x:c r="F106" s="49" t="str">
        <x:v>检验科</x:v>
      </x:c>
    </x:row>
    <x:row r="107">
      <x:c r="A107" s="49" t="str">
        <x:v>组合项目</x:v>
      </x:c>
      <x:c r="B107" s="49" t="str">
        <x:v>组合编码</x:v>
      </x:c>
      <x:c r="C107" s="49" t="str">
        <x:v>是</x:v>
      </x:c>
      <x:c r="D107" s="49" t="str">
        <x:v>文本</x:v>
      </x:c>
      <x:c r="E107" s="49" t="str">
        <x:v>不得为空；使用稳定编码，不用名称代替</x:v>
      </x:c>
      <x:c r="F107" s="49" t="str">
        <x:v>检验科</x:v>
      </x:c>
    </x:row>
    <x:row r="108">
      <x:c r="A108" s="49" t="str">
        <x:v>组合项目</x:v>
      </x:c>
      <x:c r="B108" s="49" t="str">
        <x:v>组合名称</x:v>
      </x:c>
      <x:c r="C108" s="49" t="str">
        <x:v>是</x:v>
      </x:c>
      <x:c r="D108" s="49" t="str">
        <x:v>文本</x:v>
      </x:c>
      <x:c r="E108" s="49" t="str">
        <x:v>不得为空</x:v>
      </x:c>
      <x:c r="F108" s="49" t="str">
        <x:v>检验科</x:v>
      </x:c>
    </x:row>
    <x:row r="109">
      <x:c r="A109" s="49" t="str">
        <x:v>组合项目</x:v>
      </x:c>
      <x:c r="B109" s="49" t="str">
        <x:v>明细项目编码</x:v>
      </x:c>
      <x:c r="C109" s="49" t="str">
        <x:v>是</x:v>
      </x:c>
      <x:c r="D109" s="49" t="str">
        <x:v>文本</x:v>
      </x:c>
      <x:c r="E109" s="49" t="str">
        <x:v>不得为空；使用稳定编码，不用名称代替</x:v>
      </x:c>
      <x:c r="F109" s="49" t="str">
        <x:v>检验科</x:v>
      </x:c>
    </x:row>
    <x:row r="110">
      <x:c r="A110" s="49" t="str">
        <x:v>组合项目</x:v>
      </x:c>
      <x:c r="B110" s="49" t="str">
        <x:v>项目顺序</x:v>
      </x:c>
      <x:c r="C110" s="49" t="str">
        <x:v>是</x:v>
      </x:c>
      <x:c r="D110" s="49" t="str">
        <x:v>数值</x:v>
      </x:c>
      <x:c r="E110" s="49" t="str">
        <x:v>不得为空</x:v>
      </x:c>
      <x:c r="F110" s="49" t="str">
        <x:v>检验科</x:v>
      </x:c>
    </x:row>
    <x:row r="111">
      <x:c r="A111" s="49" t="str">
        <x:v>组合项目</x:v>
      </x:c>
      <x:c r="B111" s="49" t="str">
        <x:v>启用状态</x:v>
      </x:c>
      <x:c r="C111" s="49" t="str">
        <x:v>是</x:v>
      </x:c>
      <x:c r="D111" s="49" t="str">
        <x:v>文本</x:v>
      </x:c>
      <x:c r="E111" s="49" t="str">
        <x:v>不得为空</x:v>
      </x:c>
      <x:c r="F111" s="49" t="str">
        <x:v>检验科</x:v>
      </x:c>
    </x:row>
    <x:row r="112">
      <x:c r="A112" s="49" t="str">
        <x:v>组合项目</x:v>
      </x:c>
      <x:c r="B112" s="49" t="str">
        <x:v>有效开始日期</x:v>
      </x:c>
      <x:c r="C112" s="49" t="str">
        <x:v>否</x:v>
      </x:c>
      <x:c r="D112" s="49" t="str">
        <x:v>日期</x:v>
      </x:c>
      <x:c r="E112" s="49" t="str">
        <x:v>按适用范围填写；格式YYYY-MM-DD</x:v>
      </x:c>
      <x:c r="F112" s="49" t="str">
        <x:v>检验科</x:v>
      </x:c>
    </x:row>
    <x:row r="113">
      <x:c r="A113" s="49" t="str">
        <x:v>组合项目</x:v>
      </x:c>
      <x:c r="B113" s="49" t="str">
        <x:v>有效结束日期</x:v>
      </x:c>
      <x:c r="C113" s="49" t="str">
        <x:v>否</x:v>
      </x:c>
      <x:c r="D113" s="49" t="str">
        <x:v>日期</x:v>
      </x:c>
      <x:c r="E113" s="49" t="str">
        <x:v>按适用范围填写；格式YYYY-MM-DD</x:v>
      </x:c>
      <x:c r="F113" s="49" t="str">
        <x:v>检验科</x:v>
      </x:c>
    </x:row>
    <x:row r="114">
      <x:c r="A114" s="49" t="str">
        <x:v>组合项目</x:v>
      </x:c>
      <x:c r="B114" s="49" t="str">
        <x:v>依据/版本</x:v>
      </x:c>
      <x:c r="C114" s="49" t="str">
        <x:v>是</x:v>
      </x:c>
      <x:c r="D114" s="49" t="str">
        <x:v>文本</x:v>
      </x:c>
      <x:c r="E114" s="49" t="str">
        <x:v>不得为空</x:v>
      </x:c>
      <x:c r="F114" s="49" t="str">
        <x:v>检验科</x:v>
      </x:c>
    </x:row>
    <x:row r="115">
      <x:c r="A115" s="49" t="str">
        <x:v>组合项目</x:v>
      </x:c>
      <x:c r="B115" s="49" t="str">
        <x:v>备注</x:v>
      </x:c>
      <x:c r="C115" s="49" t="str">
        <x:v>否</x:v>
      </x:c>
      <x:c r="D115" s="49" t="str">
        <x:v>文本</x:v>
      </x:c>
      <x:c r="E115" s="49" t="str">
        <x:v>按适用范围填写</x:v>
      </x:c>
      <x:c r="F115" s="49" t="str">
        <x:v>检验科</x:v>
      </x:c>
    </x:row>
    <x:row r="116">
      <x:c r="A116" s="49" t="str">
        <x:v>设备台账</x:v>
      </x:c>
      <x:c r="B116" s="49" t="str">
        <x:v>数据状态</x:v>
      </x:c>
      <x:c r="C116" s="49" t="str">
        <x:v>是</x:v>
      </x:c>
      <x:c r="D116" s="49" t="str">
        <x:v>文本</x:v>
      </x:c>
      <x:c r="E116" s="49" t="str">
        <x:v>不得为空</x:v>
      </x:c>
      <x:c r="F116" s="49" t="str">
        <x:v>检验科/信息科/设备厂商</x:v>
      </x:c>
    </x:row>
    <x:row r="117">
      <x:c r="A117" s="49" t="str">
        <x:v>设备台账</x:v>
      </x:c>
      <x:c r="B117" s="49" t="str">
        <x:v>设备编码</x:v>
      </x:c>
      <x:c r="C117" s="49" t="str">
        <x:v>是</x:v>
      </x:c>
      <x:c r="D117" s="49" t="str">
        <x:v>文本</x:v>
      </x:c>
      <x:c r="E117" s="49" t="str">
        <x:v>不得为空；使用稳定编码，不用名称代替</x:v>
      </x:c>
      <x:c r="F117" s="49" t="str">
        <x:v>检验科/信息科/设备厂商</x:v>
      </x:c>
    </x:row>
    <x:row r="118">
      <x:c r="A118" s="49" t="str">
        <x:v>设备台账</x:v>
      </x:c>
      <x:c r="B118" s="49" t="str">
        <x:v>设备名称</x:v>
      </x:c>
      <x:c r="C118" s="49" t="str">
        <x:v>是</x:v>
      </x:c>
      <x:c r="D118" s="49" t="str">
        <x:v>文本</x:v>
      </x:c>
      <x:c r="E118" s="49" t="str">
        <x:v>不得为空</x:v>
      </x:c>
      <x:c r="F118" s="49" t="str">
        <x:v>检验科/信息科/设备厂商</x:v>
      </x:c>
    </x:row>
    <x:row r="119">
      <x:c r="A119" s="49" t="str">
        <x:v>设备台账</x:v>
      </x:c>
      <x:c r="B119" s="49" t="str">
        <x:v>厂商</x:v>
      </x:c>
      <x:c r="C119" s="49" t="str">
        <x:v>是</x:v>
      </x:c>
      <x:c r="D119" s="49" t="str">
        <x:v>文本</x:v>
      </x:c>
      <x:c r="E119" s="49" t="str">
        <x:v>不得为空</x:v>
      </x:c>
      <x:c r="F119" s="49" t="str">
        <x:v>检验科/信息科/设备厂商</x:v>
      </x:c>
    </x:row>
    <x:row r="120">
      <x:c r="A120" s="49" t="str">
        <x:v>设备台账</x:v>
      </x:c>
      <x:c r="B120" s="49" t="str">
        <x:v>型号</x:v>
      </x:c>
      <x:c r="C120" s="49" t="str">
        <x:v>是</x:v>
      </x:c>
      <x:c r="D120" s="49" t="str">
        <x:v>文本</x:v>
      </x:c>
      <x:c r="E120" s="49" t="str">
        <x:v>不得为空</x:v>
      </x:c>
      <x:c r="F120" s="49" t="str">
        <x:v>检验科/信息科/设备厂商</x:v>
      </x:c>
    </x:row>
    <x:row r="121">
      <x:c r="A121" s="49" t="str">
        <x:v>设备台账</x:v>
      </x:c>
      <x:c r="B121" s="49" t="str">
        <x:v>序列号</x:v>
      </x:c>
      <x:c r="C121" s="49" t="str">
        <x:v>是</x:v>
      </x:c>
      <x:c r="D121" s="49" t="str">
        <x:v>文本</x:v>
      </x:c>
      <x:c r="E121" s="49" t="str">
        <x:v>不得为空</x:v>
      </x:c>
      <x:c r="F121" s="49" t="str">
        <x:v>检验科/信息科/设备厂商</x:v>
      </x:c>
    </x:row>
    <x:row r="122">
      <x:c r="A122" s="49" t="str">
        <x:v>设备台账</x:v>
      </x:c>
      <x:c r="B122" s="49" t="str">
        <x:v>专业组编码</x:v>
      </x:c>
      <x:c r="C122" s="49" t="str">
        <x:v>是</x:v>
      </x:c>
      <x:c r="D122" s="49" t="str">
        <x:v>文本</x:v>
      </x:c>
      <x:c r="E122" s="49" t="str">
        <x:v>不得为空；使用稳定编码，不用名称代替</x:v>
      </x:c>
      <x:c r="F122" s="49" t="str">
        <x:v>检验科/信息科/设备厂商</x:v>
      </x:c>
    </x:row>
    <x:row r="123">
      <x:c r="A123" s="49" t="str">
        <x:v>设备台账</x:v>
      </x:c>
      <x:c r="B123" s="49" t="str">
        <x:v>协议</x:v>
      </x:c>
      <x:c r="C123" s="49" t="str">
        <x:v>是</x:v>
      </x:c>
      <x:c r="D123" s="49" t="str">
        <x:v>文本</x:v>
      </x:c>
      <x:c r="E123" s="49" t="str">
        <x:v>不得为空</x:v>
      </x:c>
      <x:c r="F123" s="49" t="str">
        <x:v>检验科/信息科/设备厂商</x:v>
      </x:c>
    </x:row>
    <x:row r="124">
      <x:c r="A124" s="49" t="str">
        <x:v>设备台账</x:v>
      </x:c>
      <x:c r="B124" s="49" t="str">
        <x:v>连接方式</x:v>
      </x:c>
      <x:c r="C124" s="49" t="str">
        <x:v>是</x:v>
      </x:c>
      <x:c r="D124" s="49" t="str">
        <x:v>文本</x:v>
      </x:c>
      <x:c r="E124" s="49" t="str">
        <x:v>不得为空</x:v>
      </x:c>
      <x:c r="F124" s="49" t="str">
        <x:v>检验科/信息科/设备厂商</x:v>
      </x:c>
    </x:row>
    <x:row r="125">
      <x:c r="A125" s="49" t="str">
        <x:v>设备台账</x:v>
      </x:c>
      <x:c r="B125" s="49" t="str">
        <x:v>IP地址</x:v>
      </x:c>
      <x:c r="C125" s="49" t="str">
        <x:v>否</x:v>
      </x:c>
      <x:c r="D125" s="49" t="str">
        <x:v>文本</x:v>
      </x:c>
      <x:c r="E125" s="49" t="str">
        <x:v>按适用范围填写</x:v>
      </x:c>
      <x:c r="F125" s="49" t="str">
        <x:v>检验科/信息科/设备厂商</x:v>
      </x:c>
    </x:row>
    <x:row r="126">
      <x:c r="A126" s="49" t="str">
        <x:v>设备台账</x:v>
      </x:c>
      <x:c r="B126" s="49" t="str">
        <x:v>端口</x:v>
      </x:c>
      <x:c r="C126" s="49" t="str">
        <x:v>否</x:v>
      </x:c>
      <x:c r="D126" s="49" t="str">
        <x:v>数值</x:v>
      </x:c>
      <x:c r="E126" s="49" t="str">
        <x:v>按适用范围填写</x:v>
      </x:c>
      <x:c r="F126" s="49" t="str">
        <x:v>检验科/信息科/设备厂商</x:v>
      </x:c>
    </x:row>
    <x:row r="127">
      <x:c r="A127" s="49" t="str">
        <x:v>设备台账</x:v>
      </x:c>
      <x:c r="B127" s="49" t="str">
        <x:v>串口</x:v>
      </x:c>
      <x:c r="C127" s="49" t="str">
        <x:v>否</x:v>
      </x:c>
      <x:c r="D127" s="49" t="str">
        <x:v>文本</x:v>
      </x:c>
      <x:c r="E127" s="49" t="str">
        <x:v>按适用范围填写</x:v>
      </x:c>
      <x:c r="F127" s="49" t="str">
        <x:v>检验科/信息科/设备厂商</x:v>
      </x:c>
    </x:row>
    <x:row r="128">
      <x:c r="A128" s="49" t="str">
        <x:v>设备台账</x:v>
      </x:c>
      <x:c r="B128" s="49" t="str">
        <x:v>波特率</x:v>
      </x:c>
      <x:c r="C128" s="49" t="str">
        <x:v>否</x:v>
      </x:c>
      <x:c r="D128" s="49" t="str">
        <x:v>数值</x:v>
      </x:c>
      <x:c r="E128" s="49" t="str">
        <x:v>按适用范围填写</x:v>
      </x:c>
      <x:c r="F128" s="49" t="str">
        <x:v>检验科/信息科/设备厂商</x:v>
      </x:c>
    </x:row>
    <x:row r="129">
      <x:c r="A129" s="49" t="str">
        <x:v>设备台账</x:v>
      </x:c>
      <x:c r="B129" s="49" t="str">
        <x:v>数据位</x:v>
      </x:c>
      <x:c r="C129" s="49" t="str">
        <x:v>否</x:v>
      </x:c>
      <x:c r="D129" s="49" t="str">
        <x:v>数值</x:v>
      </x:c>
      <x:c r="E129" s="49" t="str">
        <x:v>按适用范围填写</x:v>
      </x:c>
      <x:c r="F129" s="49" t="str">
        <x:v>检验科/信息科/设备厂商</x:v>
      </x:c>
    </x:row>
    <x:row r="130">
      <x:c r="A130" s="49" t="str">
        <x:v>设备台账</x:v>
      </x:c>
      <x:c r="B130" s="49" t="str">
        <x:v>校验位</x:v>
      </x:c>
      <x:c r="C130" s="49" t="str">
        <x:v>否</x:v>
      </x:c>
      <x:c r="D130" s="49" t="str">
        <x:v>文本</x:v>
      </x:c>
      <x:c r="E130" s="49" t="str">
        <x:v>按适用范围填写</x:v>
      </x:c>
      <x:c r="F130" s="49" t="str">
        <x:v>检验科/信息科/设备厂商</x:v>
      </x:c>
    </x:row>
    <x:row r="131">
      <x:c r="A131" s="49" t="str">
        <x:v>设备台账</x:v>
      </x:c>
      <x:c r="B131" s="49" t="str">
        <x:v>停止位</x:v>
      </x:c>
      <x:c r="C131" s="49" t="str">
        <x:v>否</x:v>
      </x:c>
      <x:c r="D131" s="49" t="str">
        <x:v>数值</x:v>
      </x:c>
      <x:c r="E131" s="49" t="str">
        <x:v>按适用范围填写</x:v>
      </x:c>
      <x:c r="F131" s="49" t="str">
        <x:v>检验科/信息科/设备厂商</x:v>
      </x:c>
    </x:row>
    <x:row r="132">
      <x:c r="A132" s="49" t="str">
        <x:v>设备台账</x:v>
      </x:c>
      <x:c r="B132" s="49" t="str">
        <x:v>双向通信</x:v>
      </x:c>
      <x:c r="C132" s="49" t="str">
        <x:v>是</x:v>
      </x:c>
      <x:c r="D132" s="49" t="str">
        <x:v>文本</x:v>
      </x:c>
      <x:c r="E132" s="49" t="str">
        <x:v>不得为空</x:v>
      </x:c>
      <x:c r="F132" s="49" t="str">
        <x:v>检验科/信息科/设备厂商</x:v>
      </x:c>
    </x:row>
    <x:row r="133">
      <x:c r="A133" s="49" t="str">
        <x:v>设备台账</x:v>
      </x:c>
      <x:c r="B133" s="49" t="str">
        <x:v>启用状态</x:v>
      </x:c>
      <x:c r="C133" s="49" t="str">
        <x:v>是</x:v>
      </x:c>
      <x:c r="D133" s="49" t="str">
        <x:v>文本</x:v>
      </x:c>
      <x:c r="E133" s="49" t="str">
        <x:v>不得为空</x:v>
      </x:c>
      <x:c r="F133" s="49" t="str">
        <x:v>检验科/信息科/设备厂商</x:v>
      </x:c>
    </x:row>
    <x:row r="134">
      <x:c r="A134" s="49" t="str">
        <x:v>设备台账</x:v>
      </x:c>
      <x:c r="B134" s="49" t="str">
        <x:v>厂商联系人</x:v>
      </x:c>
      <x:c r="C134" s="49" t="str">
        <x:v>否</x:v>
      </x:c>
      <x:c r="D134" s="49" t="str">
        <x:v>文本</x:v>
      </x:c>
      <x:c r="E134" s="49" t="str">
        <x:v>按适用范围填写</x:v>
      </x:c>
      <x:c r="F134" s="49" t="str">
        <x:v>检验科/信息科/设备厂商</x:v>
      </x:c>
    </x:row>
    <x:row r="135">
      <x:c r="A135" s="49" t="str">
        <x:v>设备台账</x:v>
      </x:c>
      <x:c r="B135" s="49" t="str">
        <x:v>验收状态</x:v>
      </x:c>
      <x:c r="C135" s="49" t="str">
        <x:v>是</x:v>
      </x:c>
      <x:c r="D135" s="49" t="str">
        <x:v>文本</x:v>
      </x:c>
      <x:c r="E135" s="49" t="str">
        <x:v>不得为空</x:v>
      </x:c>
      <x:c r="F135" s="49" t="str">
        <x:v>检验科/信息科/设备厂商</x:v>
      </x:c>
    </x:row>
    <x:row r="136">
      <x:c r="A136" s="49" t="str">
        <x:v>设备台账</x:v>
      </x:c>
      <x:c r="B136" s="49" t="str">
        <x:v>备注</x:v>
      </x:c>
      <x:c r="C136" s="49" t="str">
        <x:v>否</x:v>
      </x:c>
      <x:c r="D136" s="49" t="str">
        <x:v>文本</x:v>
      </x:c>
      <x:c r="E136" s="49" t="str">
        <x:v>按适用范围填写</x:v>
      </x:c>
      <x:c r="F136" s="49" t="str">
        <x:v>检验科/信息科/设备厂商</x:v>
      </x:c>
    </x:row>
    <x:row r="137">
      <x:c r="A137" s="49" t="str">
        <x:v>设备项目映射</x:v>
      </x:c>
      <x:c r="B137" s="49" t="str">
        <x:v>数据状态</x:v>
      </x:c>
      <x:c r="C137" s="49" t="str">
        <x:v>是</x:v>
      </x:c>
      <x:c r="D137" s="49" t="str">
        <x:v>文本</x:v>
      </x:c>
      <x:c r="E137" s="49" t="str">
        <x:v>不得为空</x:v>
      </x:c>
      <x:c r="F137" s="49" t="str">
        <x:v>检验科/设备厂商</x:v>
      </x:c>
    </x:row>
    <x:row r="138">
      <x:c r="A138" s="49" t="str">
        <x:v>设备项目映射</x:v>
      </x:c>
      <x:c r="B138" s="49" t="str">
        <x:v>设备编码</x:v>
      </x:c>
      <x:c r="C138" s="49" t="str">
        <x:v>是</x:v>
      </x:c>
      <x:c r="D138" s="49" t="str">
        <x:v>文本</x:v>
      </x:c>
      <x:c r="E138" s="49" t="str">
        <x:v>不得为空；使用稳定编码，不用名称代替</x:v>
      </x:c>
      <x:c r="F138" s="49" t="str">
        <x:v>检验科/设备厂商</x:v>
      </x:c>
    </x:row>
    <x:row r="139">
      <x:c r="A139" s="49" t="str">
        <x:v>设备项目映射</x:v>
      </x:c>
      <x:c r="B139" s="49" t="str">
        <x:v>厂商项目码</x:v>
      </x:c>
      <x:c r="C139" s="49" t="str">
        <x:v>是</x:v>
      </x:c>
      <x:c r="D139" s="49" t="str">
        <x:v>文本</x:v>
      </x:c>
      <x:c r="E139" s="49" t="str">
        <x:v>不得为空</x:v>
      </x:c>
      <x:c r="F139" s="49" t="str">
        <x:v>检验科/设备厂商</x:v>
      </x:c>
    </x:row>
    <x:row r="140">
      <x:c r="A140" s="49" t="str">
        <x:v>设备项目映射</x:v>
      </x:c>
      <x:c r="B140" s="49" t="str">
        <x:v>厂商项目名称</x:v>
      </x:c>
      <x:c r="C140" s="49" t="str">
        <x:v>否</x:v>
      </x:c>
      <x:c r="D140" s="49" t="str">
        <x:v>文本</x:v>
      </x:c>
      <x:c r="E140" s="49" t="str">
        <x:v>按适用范围填写</x:v>
      </x:c>
      <x:c r="F140" s="49" t="str">
        <x:v>检验科/设备厂商</x:v>
      </x:c>
    </x:row>
    <x:row r="141">
      <x:c r="A141" s="49" t="str">
        <x:v>设备项目映射</x:v>
      </x:c>
      <x:c r="B141" s="49" t="str">
        <x:v>LIS项目编码</x:v>
      </x:c>
      <x:c r="C141" s="49" t="str">
        <x:v>是</x:v>
      </x:c>
      <x:c r="D141" s="49" t="str">
        <x:v>文本</x:v>
      </x:c>
      <x:c r="E141" s="49" t="str">
        <x:v>不得为空；使用稳定编码，不用名称代替</x:v>
      </x:c>
      <x:c r="F141" s="49" t="str">
        <x:v>检验科/设备厂商</x:v>
      </x:c>
    </x:row>
    <x:row r="142">
      <x:c r="A142" s="49" t="str">
        <x:v>设备项目映射</x:v>
      </x:c>
      <x:c r="B142" s="49" t="str">
        <x:v>厂商单位</x:v>
      </x:c>
      <x:c r="C142" s="49" t="str">
        <x:v>是</x:v>
      </x:c>
      <x:c r="D142" s="49" t="str">
        <x:v>文本</x:v>
      </x:c>
      <x:c r="E142" s="49" t="str">
        <x:v>不得为空</x:v>
      </x:c>
      <x:c r="F142" s="49" t="str">
        <x:v>检验科/设备厂商</x:v>
      </x:c>
    </x:row>
    <x:row r="143">
      <x:c r="A143" s="49" t="str">
        <x:v>设备项目映射</x:v>
      </x:c>
      <x:c r="B143" s="49" t="str">
        <x:v>LIS单位编码</x:v>
      </x:c>
      <x:c r="C143" s="49" t="str">
        <x:v>是</x:v>
      </x:c>
      <x:c r="D143" s="49" t="str">
        <x:v>文本</x:v>
      </x:c>
      <x:c r="E143" s="49" t="str">
        <x:v>不得为空；使用稳定编码，不用名称代替</x:v>
      </x:c>
      <x:c r="F143" s="49" t="str">
        <x:v>检验科/设备厂商</x:v>
      </x:c>
    </x:row>
    <x:row r="144">
      <x:c r="A144" s="49" t="str">
        <x:v>设备项目映射</x:v>
      </x:c>
      <x:c r="B144" s="49" t="str">
        <x:v>结果类型</x:v>
      </x:c>
      <x:c r="C144" s="49" t="str">
        <x:v>是</x:v>
      </x:c>
      <x:c r="D144" s="49" t="str">
        <x:v>文本</x:v>
      </x:c>
      <x:c r="E144" s="49" t="str">
        <x:v>不得为空</x:v>
      </x:c>
      <x:c r="F144" s="49" t="str">
        <x:v>检验科/设备厂商</x:v>
      </x:c>
    </x:row>
    <x:row r="145">
      <x:c r="A145" s="49" t="str">
        <x:v>设备项目映射</x:v>
      </x:c>
      <x:c r="B145" s="49" t="str">
        <x:v>小数位</x:v>
      </x:c>
      <x:c r="C145" s="49" t="str">
        <x:v>否</x:v>
      </x:c>
      <x:c r="D145" s="49" t="str">
        <x:v>数值</x:v>
      </x:c>
      <x:c r="E145" s="49" t="str">
        <x:v>按适用范围填写</x:v>
      </x:c>
      <x:c r="F145" s="49" t="str">
        <x:v>检验科/设备厂商</x:v>
      </x:c>
    </x:row>
    <x:row r="146">
      <x:c r="A146" s="49" t="str">
        <x:v>设备项目映射</x:v>
      </x:c>
      <x:c r="B146" s="49" t="str">
        <x:v>质控结果标识</x:v>
      </x:c>
      <x:c r="C146" s="49" t="str">
        <x:v>是</x:v>
      </x:c>
      <x:c r="D146" s="49" t="str">
        <x:v>文本</x:v>
      </x:c>
      <x:c r="E146" s="49" t="str">
        <x:v>不得为空</x:v>
      </x:c>
      <x:c r="F146" s="49" t="str">
        <x:v>检验科/设备厂商</x:v>
      </x:c>
    </x:row>
    <x:row r="147">
      <x:c r="A147" s="49" t="str">
        <x:v>设备项目映射</x:v>
      </x:c>
      <x:c r="B147" s="49" t="str">
        <x:v>启用状态</x:v>
      </x:c>
      <x:c r="C147" s="49" t="str">
        <x:v>是</x:v>
      </x:c>
      <x:c r="D147" s="49" t="str">
        <x:v>文本</x:v>
      </x:c>
      <x:c r="E147" s="49" t="str">
        <x:v>不得为空</x:v>
      </x:c>
      <x:c r="F147" s="49" t="str">
        <x:v>检验科/设备厂商</x:v>
      </x:c>
    </x:row>
    <x:row r="148">
      <x:c r="A148" s="49" t="str">
        <x:v>设备项目映射</x:v>
      </x:c>
      <x:c r="B148" s="49" t="str">
        <x:v>验收人</x:v>
      </x:c>
      <x:c r="C148" s="49" t="str">
        <x:v>是</x:v>
      </x:c>
      <x:c r="D148" s="49" t="str">
        <x:v>文本</x:v>
      </x:c>
      <x:c r="E148" s="49" t="str">
        <x:v>不得为空</x:v>
      </x:c>
      <x:c r="F148" s="49" t="str">
        <x:v>检验科/设备厂商</x:v>
      </x:c>
    </x:row>
    <x:row r="149">
      <x:c r="A149" s="49" t="str">
        <x:v>设备项目映射</x:v>
      </x:c>
      <x:c r="B149" s="49" t="str">
        <x:v>验收日期</x:v>
      </x:c>
      <x:c r="C149" s="49" t="str">
        <x:v>是</x:v>
      </x:c>
      <x:c r="D149" s="49" t="str">
        <x:v>日期</x:v>
      </x:c>
      <x:c r="E149" s="49" t="str">
        <x:v>不得为空；格式YYYY-MM-DD</x:v>
      </x:c>
      <x:c r="F149" s="49" t="str">
        <x:v>检验科/设备厂商</x:v>
      </x:c>
    </x:row>
    <x:row r="150">
      <x:c r="A150" s="49" t="str">
        <x:v>设备项目映射</x:v>
      </x:c>
      <x:c r="B150" s="49" t="str">
        <x:v>备注</x:v>
      </x:c>
      <x:c r="C150" s="49" t="str">
        <x:v>否</x:v>
      </x:c>
      <x:c r="D150" s="49" t="str">
        <x:v>文本</x:v>
      </x:c>
      <x:c r="E150" s="49" t="str">
        <x:v>按适用范围填写</x:v>
      </x:c>
      <x:c r="F150" s="49" t="str">
        <x:v>检验科/设备厂商</x:v>
      </x:c>
    </x:row>
    <x:row r="151">
      <x:c r="A151" s="49" t="str">
        <x:v>外部码表映射</x:v>
      </x:c>
      <x:c r="B151" s="49" t="str">
        <x:v>数据状态</x:v>
      </x:c>
      <x:c r="C151" s="49" t="str">
        <x:v>是</x:v>
      </x:c>
      <x:c r="D151" s="49" t="str">
        <x:v>文本</x:v>
      </x:c>
      <x:c r="E151" s="49" t="str">
        <x:v>不得为空</x:v>
      </x:c>
      <x:c r="F151" s="49" t="str">
        <x:v>医院信息科/HIS厂商</x:v>
      </x:c>
    </x:row>
    <x:row r="152">
      <x:c r="A152" s="49" t="str">
        <x:v>外部码表映射</x:v>
      </x:c>
      <x:c r="B152" s="49" t="str">
        <x:v>来源系统</x:v>
      </x:c>
      <x:c r="C152" s="49" t="str">
        <x:v>是</x:v>
      </x:c>
      <x:c r="D152" s="49" t="str">
        <x:v>文本</x:v>
      </x:c>
      <x:c r="E152" s="49" t="str">
        <x:v>不得为空</x:v>
      </x:c>
      <x:c r="F152" s="49" t="str">
        <x:v>医院信息科/HIS厂商</x:v>
      </x:c>
    </x:row>
    <x:row r="153">
      <x:c r="A153" s="49" t="str">
        <x:v>外部码表映射</x:v>
      </x:c>
      <x:c r="B153" s="49" t="str">
        <x:v>映射类型</x:v>
      </x:c>
      <x:c r="C153" s="49" t="str">
        <x:v>是</x:v>
      </x:c>
      <x:c r="D153" s="49" t="str">
        <x:v>文本</x:v>
      </x:c>
      <x:c r="E153" s="49" t="str">
        <x:v>不得为空</x:v>
      </x:c>
      <x:c r="F153" s="49" t="str">
        <x:v>医院信息科/HIS厂商</x:v>
      </x:c>
    </x:row>
    <x:row r="154">
      <x:c r="A154" s="49" t="str">
        <x:v>外部码表映射</x:v>
      </x:c>
      <x:c r="B154" s="49" t="str">
        <x:v>外部编码</x:v>
      </x:c>
      <x:c r="C154" s="49" t="str">
        <x:v>是</x:v>
      </x:c>
      <x:c r="D154" s="49" t="str">
        <x:v>文本</x:v>
      </x:c>
      <x:c r="E154" s="49" t="str">
        <x:v>不得为空；使用稳定编码，不用名称代替</x:v>
      </x:c>
      <x:c r="F154" s="49" t="str">
        <x:v>医院信息科/HIS厂商</x:v>
      </x:c>
    </x:row>
    <x:row r="155">
      <x:c r="A155" s="49" t="str">
        <x:v>外部码表映射</x:v>
      </x:c>
      <x:c r="B155" s="49" t="str">
        <x:v>外部名称</x:v>
      </x:c>
      <x:c r="C155" s="49" t="str">
        <x:v>否</x:v>
      </x:c>
      <x:c r="D155" s="49" t="str">
        <x:v>文本</x:v>
      </x:c>
      <x:c r="E155" s="49" t="str">
        <x:v>按适用范围填写</x:v>
      </x:c>
      <x:c r="F155" s="49" t="str">
        <x:v>医院信息科/HIS厂商</x:v>
      </x:c>
    </x:row>
    <x:row r="156">
      <x:c r="A156" s="49" t="str">
        <x:v>外部码表映射</x:v>
      </x:c>
      <x:c r="B156" s="49" t="str">
        <x:v>LIS稳定编码</x:v>
      </x:c>
      <x:c r="C156" s="49" t="str">
        <x:v>是</x:v>
      </x:c>
      <x:c r="D156" s="49" t="str">
        <x:v>文本</x:v>
      </x:c>
      <x:c r="E156" s="49" t="str">
        <x:v>不得为空；使用稳定编码，不用名称代替</x:v>
      </x:c>
      <x:c r="F156" s="49" t="str">
        <x:v>医院信息科/HIS厂商</x:v>
      </x:c>
    </x:row>
    <x:row r="157">
      <x:c r="A157" s="49" t="str">
        <x:v>外部码表映射</x:v>
      </x:c>
      <x:c r="B157" s="49" t="str">
        <x:v>LIS名称</x:v>
      </x:c>
      <x:c r="C157" s="49" t="str">
        <x:v>是</x:v>
      </x:c>
      <x:c r="D157" s="49" t="str">
        <x:v>文本</x:v>
      </x:c>
      <x:c r="E157" s="49" t="str">
        <x:v>不得为空</x:v>
      </x:c>
      <x:c r="F157" s="49" t="str">
        <x:v>医院信息科/HIS厂商</x:v>
      </x:c>
    </x:row>
    <x:row r="158">
      <x:c r="A158" s="49" t="str">
        <x:v>外部码表映射</x:v>
      </x:c>
      <x:c r="B158" s="49" t="str">
        <x:v>启用状态</x:v>
      </x:c>
      <x:c r="C158" s="49" t="str">
        <x:v>是</x:v>
      </x:c>
      <x:c r="D158" s="49" t="str">
        <x:v>文本</x:v>
      </x:c>
      <x:c r="E158" s="49" t="str">
        <x:v>不得为空</x:v>
      </x:c>
      <x:c r="F158" s="49" t="str">
        <x:v>医院信息科/HIS厂商</x:v>
      </x:c>
    </x:row>
    <x:row r="159">
      <x:c r="A159" s="49" t="str">
        <x:v>外部码表映射</x:v>
      </x:c>
      <x:c r="B159" s="49" t="str">
        <x:v>生效日期</x:v>
      </x:c>
      <x:c r="C159" s="49" t="str">
        <x:v>是</x:v>
      </x:c>
      <x:c r="D159" s="49" t="str">
        <x:v>日期</x:v>
      </x:c>
      <x:c r="E159" s="49" t="str">
        <x:v>不得为空；格式YYYY-MM-DD</x:v>
      </x:c>
      <x:c r="F159" s="49" t="str">
        <x:v>医院信息科/HIS厂商</x:v>
      </x:c>
    </x:row>
    <x:row r="160">
      <x:c r="A160" s="49" t="str">
        <x:v>外部码表映射</x:v>
      </x:c>
      <x:c r="B160" s="49" t="str">
        <x:v>失效日期</x:v>
      </x:c>
      <x:c r="C160" s="49" t="str">
        <x:v>否</x:v>
      </x:c>
      <x:c r="D160" s="49" t="str">
        <x:v>日期</x:v>
      </x:c>
      <x:c r="E160" s="49" t="str">
        <x:v>按适用范围填写；格式YYYY-MM-DD</x:v>
      </x:c>
      <x:c r="F160" s="49" t="str">
        <x:v>医院信息科/HIS厂商</x:v>
      </x:c>
    </x:row>
    <x:row r="161">
      <x:c r="A161" s="49" t="str">
        <x:v>外部码表映射</x:v>
      </x:c>
      <x:c r="B161" s="49" t="str">
        <x:v>责任人</x:v>
      </x:c>
      <x:c r="C161" s="49" t="str">
        <x:v>是</x:v>
      </x:c>
      <x:c r="D161" s="49" t="str">
        <x:v>文本</x:v>
      </x:c>
      <x:c r="E161" s="49" t="str">
        <x:v>不得为空</x:v>
      </x:c>
      <x:c r="F161" s="49" t="str">
        <x:v>医院信息科/HIS厂商</x:v>
      </x:c>
    </x:row>
    <x:row r="162">
      <x:c r="A162" s="49" t="str">
        <x:v>外部码表映射</x:v>
      </x:c>
      <x:c r="B162" s="49" t="str">
        <x:v>确认日期</x:v>
      </x:c>
      <x:c r="C162" s="49" t="str">
        <x:v>是</x:v>
      </x:c>
      <x:c r="D162" s="49" t="str">
        <x:v>日期</x:v>
      </x:c>
      <x:c r="E162" s="49" t="str">
        <x:v>不得为空；格式YYYY-MM-DD</x:v>
      </x:c>
      <x:c r="F162" s="49" t="str">
        <x:v>医院信息科/HIS厂商</x:v>
      </x:c>
    </x:row>
    <x:row r="163">
      <x:c r="A163" s="49" t="str">
        <x:v>外部码表映射</x:v>
      </x:c>
      <x:c r="B163" s="49" t="str">
        <x:v>备注</x:v>
      </x:c>
      <x:c r="C163" s="49" t="str">
        <x:v>否</x:v>
      </x:c>
      <x:c r="D163" s="49" t="str">
        <x:v>文本</x:v>
      </x:c>
      <x:c r="E163" s="49" t="str">
        <x:v>按适用范围填写</x:v>
      </x:c>
      <x:c r="F163" s="49" t="str">
        <x:v>医院信息科/HIS厂商</x:v>
      </x:c>
    </x:row>
  </x:sheetData>
  <x:mergeCells>
    <x:mergeCell ref="A1:F1"/>
    <x:mergeCell ref="A2:F2"/>
  </x:mergeCells>
  <x:pageMargins left="0.7" right="0.7" top="0.75" bottom="0.75" header="0.3" footer="0.3"/>
</x:worksheet>
</file>